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y Drive\Hollingsworth Family\Budget\"/>
    </mc:Choice>
  </mc:AlternateContent>
  <xr:revisionPtr revIDLastSave="0" documentId="13_ncr:1_{BB5240E5-AE47-4ACC-8D83-62AFB3FDC155}" xr6:coauthVersionLast="47" xr6:coauthVersionMax="47" xr10:uidLastSave="{00000000-0000-0000-0000-000000000000}"/>
  <bookViews>
    <workbookView xWindow="-110" yWindow="-110" windowWidth="19420" windowHeight="10300" tabRatio="810" activeTab="2" xr2:uid="{00000000-000D-0000-FFFF-FFFF00000000}"/>
  </bookViews>
  <sheets>
    <sheet name="SETUP" sheetId="11" r:id="rId1"/>
    <sheet name="202601" sheetId="8" state="hidden" r:id="rId2"/>
    <sheet name="DONOTUSE" sheetId="12" r:id="rId3"/>
    <sheet name="Budget" sheetId="13" r:id="rId4"/>
    <sheet name="Transactions" sheetId="10" r:id="rId5"/>
    <sheet name="Budget_TEMPLATE" sheetId="9" r:id="rId6"/>
    <sheet name="202507" sheetId="1" state="hidden" r:id="rId7"/>
    <sheet name="202508" sheetId="2" state="hidden" r:id="rId8"/>
    <sheet name="202509" sheetId="3" state="hidden" r:id="rId9"/>
    <sheet name="202510" sheetId="4" state="hidden" r:id="rId10"/>
    <sheet name="Cashflow" sheetId="5" state="hidden" r:id="rId11"/>
    <sheet name="Cashflow NOV" sheetId="6" state="hidden" r:id="rId12"/>
    <sheet name="Cashflow DEC" sheetId="7" state="hidden" r:id="rId13"/>
  </sheets>
  <externalReferences>
    <externalReference r:id="rId14"/>
  </externalReferences>
  <definedNames>
    <definedName name="_xlnm._FilterDatabase" localSheetId="10" hidden="1">Cashflow!$B$23:$E$64</definedName>
    <definedName name="_xlnm._FilterDatabase" localSheetId="12" hidden="1">'Cashflow DEC'!$B$23:$E$62</definedName>
    <definedName name="_xlnm._FilterDatabase" localSheetId="11" hidden="1">'Cashflow NOV'!$B$23:$E$62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wg1oygDjSL8OmMPfU6kvHJTRKPjDqUt/Ix2RX/6JX/o="/>
    </ext>
  </extLst>
</workbook>
</file>

<file path=xl/calcChain.xml><?xml version="1.0" encoding="utf-8"?>
<calcChain xmlns="http://schemas.openxmlformats.org/spreadsheetml/2006/main">
  <c r="B2" i="12" l="1" a="1"/>
  <c r="B2" i="12" s="1"/>
  <c r="A3" i="12" a="1"/>
  <c r="A3" i="12" s="1"/>
  <c r="B3" i="12" l="1" a="1"/>
  <c r="B3" i="12" s="1"/>
  <c r="I3" i="12" a="1"/>
  <c r="I3" i="12" s="1"/>
  <c r="H3" i="12" a="1"/>
  <c r="H3" i="12" s="1"/>
  <c r="G3" i="12" a="1"/>
  <c r="G3" i="12" s="1"/>
  <c r="F3" i="12" a="1"/>
  <c r="F3" i="12" s="1"/>
  <c r="E3" i="12" a="1"/>
  <c r="E3" i="12" s="1"/>
  <c r="D3" i="12" a="1"/>
  <c r="D3" i="12" s="1"/>
  <c r="C3" i="12" a="1"/>
  <c r="C3" i="12" s="1"/>
  <c r="H3" i="13" l="1"/>
  <c r="E3" i="13"/>
  <c r="F3" i="10"/>
  <c r="B2" i="9"/>
  <c r="H130" i="9"/>
  <c r="G17" i="9" s="1"/>
  <c r="J129" i="9"/>
  <c r="I129" i="9"/>
  <c r="J128" i="9"/>
  <c r="I128" i="9"/>
  <c r="J127" i="9"/>
  <c r="I127" i="9"/>
  <c r="J126" i="9"/>
  <c r="I126" i="9"/>
  <c r="J125" i="9"/>
  <c r="I125" i="9"/>
  <c r="J124" i="9"/>
  <c r="I124" i="9"/>
  <c r="J123" i="9"/>
  <c r="I123" i="9"/>
  <c r="J122" i="9"/>
  <c r="I122" i="9"/>
  <c r="J121" i="9"/>
  <c r="I121" i="9"/>
  <c r="J120" i="9"/>
  <c r="I120" i="9"/>
  <c r="J119" i="9"/>
  <c r="I119" i="9"/>
  <c r="J118" i="9"/>
  <c r="I118" i="9"/>
  <c r="J117" i="9"/>
  <c r="I117" i="9"/>
  <c r="J116" i="9"/>
  <c r="I116" i="9"/>
  <c r="J115" i="9"/>
  <c r="I115" i="9"/>
  <c r="J114" i="9"/>
  <c r="I114" i="9"/>
  <c r="J113" i="9"/>
  <c r="I113" i="9"/>
  <c r="J112" i="9"/>
  <c r="I112" i="9"/>
  <c r="J111" i="9"/>
  <c r="I111" i="9"/>
  <c r="J110" i="9"/>
  <c r="I110" i="9"/>
  <c r="J109" i="9"/>
  <c r="I109" i="9"/>
  <c r="J108" i="9"/>
  <c r="I108" i="9"/>
  <c r="J107" i="9"/>
  <c r="I107" i="9"/>
  <c r="J106" i="9"/>
  <c r="I106" i="9"/>
  <c r="J105" i="9"/>
  <c r="I105" i="9"/>
  <c r="J104" i="9"/>
  <c r="I104" i="9"/>
  <c r="J103" i="9"/>
  <c r="I103" i="9"/>
  <c r="J102" i="9"/>
  <c r="I102" i="9"/>
  <c r="J101" i="9"/>
  <c r="I101" i="9"/>
  <c r="J100" i="9"/>
  <c r="I100" i="9"/>
  <c r="J99" i="9"/>
  <c r="I99" i="9"/>
  <c r="J98" i="9"/>
  <c r="I98" i="9"/>
  <c r="J97" i="9"/>
  <c r="I97" i="9"/>
  <c r="J96" i="9"/>
  <c r="I96" i="9"/>
  <c r="J95" i="9"/>
  <c r="I95" i="9"/>
  <c r="J94" i="9"/>
  <c r="I94" i="9"/>
  <c r="J93" i="9"/>
  <c r="I93" i="9"/>
  <c r="J92" i="9"/>
  <c r="I92" i="9"/>
  <c r="J91" i="9"/>
  <c r="I91" i="9"/>
  <c r="J90" i="9"/>
  <c r="I90" i="9"/>
  <c r="J89" i="9"/>
  <c r="I89" i="9"/>
  <c r="J88" i="9"/>
  <c r="I88" i="9"/>
  <c r="J87" i="9"/>
  <c r="I87" i="9"/>
  <c r="J86" i="9"/>
  <c r="I86" i="9"/>
  <c r="J85" i="9"/>
  <c r="I85" i="9"/>
  <c r="J84" i="9"/>
  <c r="I84" i="9"/>
  <c r="J83" i="9"/>
  <c r="I83" i="9"/>
  <c r="J82" i="9"/>
  <c r="I82" i="9"/>
  <c r="J81" i="9"/>
  <c r="I81" i="9"/>
  <c r="J80" i="9"/>
  <c r="I80" i="9"/>
  <c r="J79" i="9"/>
  <c r="I79" i="9"/>
  <c r="J78" i="9"/>
  <c r="I78" i="9"/>
  <c r="J77" i="9"/>
  <c r="I77" i="9"/>
  <c r="J76" i="9"/>
  <c r="I76" i="9"/>
  <c r="J75" i="9"/>
  <c r="I75" i="9"/>
  <c r="J74" i="9"/>
  <c r="I74" i="9"/>
  <c r="J73" i="9"/>
  <c r="I73" i="9"/>
  <c r="J72" i="9"/>
  <c r="I72" i="9"/>
  <c r="J71" i="9"/>
  <c r="I71" i="9"/>
  <c r="J70" i="9"/>
  <c r="I70" i="9"/>
  <c r="J69" i="9"/>
  <c r="I69" i="9"/>
  <c r="J68" i="9"/>
  <c r="I68" i="9"/>
  <c r="J67" i="9"/>
  <c r="I67" i="9"/>
  <c r="J66" i="9"/>
  <c r="I66" i="9"/>
  <c r="J65" i="9"/>
  <c r="I65" i="9"/>
  <c r="J64" i="9"/>
  <c r="I64" i="9"/>
  <c r="J63" i="9"/>
  <c r="I63" i="9"/>
  <c r="J62" i="9"/>
  <c r="I62" i="9"/>
  <c r="J61" i="9"/>
  <c r="I61" i="9"/>
  <c r="J60" i="9"/>
  <c r="I60" i="9"/>
  <c r="J59" i="9"/>
  <c r="I59" i="9"/>
  <c r="J58" i="9"/>
  <c r="I58" i="9"/>
  <c r="J57" i="9"/>
  <c r="I57" i="9"/>
  <c r="J56" i="9"/>
  <c r="I56" i="9"/>
  <c r="J55" i="9"/>
  <c r="I55" i="9"/>
  <c r="J54" i="9"/>
  <c r="I54" i="9"/>
  <c r="J53" i="9"/>
  <c r="I53" i="9"/>
  <c r="J52" i="9"/>
  <c r="I52" i="9"/>
  <c r="J51" i="9"/>
  <c r="I51" i="9"/>
  <c r="J50" i="9"/>
  <c r="I50" i="9"/>
  <c r="J49" i="9"/>
  <c r="I49" i="9"/>
  <c r="J48" i="9"/>
  <c r="I48" i="9"/>
  <c r="J47" i="9"/>
  <c r="I47" i="9"/>
  <c r="J46" i="9"/>
  <c r="I46" i="9"/>
  <c r="J45" i="9"/>
  <c r="I45" i="9"/>
  <c r="J44" i="9"/>
  <c r="I44" i="9"/>
  <c r="J43" i="9"/>
  <c r="I43" i="9"/>
  <c r="J42" i="9"/>
  <c r="I42" i="9"/>
  <c r="J41" i="9"/>
  <c r="I41" i="9"/>
  <c r="J40" i="9"/>
  <c r="I40" i="9"/>
  <c r="J39" i="9"/>
  <c r="I39" i="9"/>
  <c r="J38" i="9"/>
  <c r="I38" i="9"/>
  <c r="J37" i="9"/>
  <c r="I37" i="9"/>
  <c r="J36" i="9"/>
  <c r="I36" i="9"/>
  <c r="J35" i="9"/>
  <c r="I35" i="9"/>
  <c r="J34" i="9"/>
  <c r="I34" i="9"/>
  <c r="J33" i="9"/>
  <c r="I33" i="9"/>
  <c r="J32" i="9"/>
  <c r="I32" i="9"/>
  <c r="J31" i="9"/>
  <c r="I31" i="9"/>
  <c r="J30" i="9"/>
  <c r="I30" i="9"/>
  <c r="J28" i="9"/>
  <c r="I28" i="9"/>
  <c r="H28" i="9"/>
  <c r="AG130" i="9"/>
  <c r="AF17" i="9" s="1"/>
  <c r="AB130" i="9"/>
  <c r="AA17" i="9" s="1"/>
  <c r="W130" i="9"/>
  <c r="V17" i="9" s="1"/>
  <c r="R130" i="9"/>
  <c r="Q17" i="9" s="1"/>
  <c r="M130" i="9"/>
  <c r="C130" i="9"/>
  <c r="AI129" i="9"/>
  <c r="AH129" i="9"/>
  <c r="AD129" i="9"/>
  <c r="AC129" i="9"/>
  <c r="Y129" i="9"/>
  <c r="X129" i="9"/>
  <c r="T129" i="9"/>
  <c r="S129" i="9"/>
  <c r="O129" i="9"/>
  <c r="N129" i="9"/>
  <c r="E129" i="9"/>
  <c r="D129" i="9"/>
  <c r="AI128" i="9"/>
  <c r="AH128" i="9"/>
  <c r="AD128" i="9"/>
  <c r="AC128" i="9"/>
  <c r="Y128" i="9"/>
  <c r="X128" i="9"/>
  <c r="T128" i="9"/>
  <c r="S128" i="9"/>
  <c r="O128" i="9"/>
  <c r="N128" i="9"/>
  <c r="E128" i="9"/>
  <c r="D128" i="9"/>
  <c r="AI127" i="9"/>
  <c r="AH127" i="9"/>
  <c r="AD127" i="9"/>
  <c r="AC127" i="9"/>
  <c r="Y127" i="9"/>
  <c r="X127" i="9"/>
  <c r="T127" i="9"/>
  <c r="S127" i="9"/>
  <c r="O127" i="9"/>
  <c r="N127" i="9"/>
  <c r="E127" i="9"/>
  <c r="D127" i="9"/>
  <c r="AI126" i="9"/>
  <c r="AH126" i="9"/>
  <c r="AD126" i="9"/>
  <c r="AC126" i="9"/>
  <c r="Y126" i="9"/>
  <c r="X126" i="9"/>
  <c r="T126" i="9"/>
  <c r="S126" i="9"/>
  <c r="O126" i="9"/>
  <c r="N126" i="9"/>
  <c r="E126" i="9"/>
  <c r="D126" i="9"/>
  <c r="AI125" i="9"/>
  <c r="AH125" i="9"/>
  <c r="AD125" i="9"/>
  <c r="AC125" i="9"/>
  <c r="Y125" i="9"/>
  <c r="X125" i="9"/>
  <c r="T125" i="9"/>
  <c r="S125" i="9"/>
  <c r="O125" i="9"/>
  <c r="N125" i="9"/>
  <c r="E125" i="9"/>
  <c r="D125" i="9"/>
  <c r="AI124" i="9"/>
  <c r="AH124" i="9"/>
  <c r="AD124" i="9"/>
  <c r="AC124" i="9"/>
  <c r="Y124" i="9"/>
  <c r="X124" i="9"/>
  <c r="T124" i="9"/>
  <c r="S124" i="9"/>
  <c r="O124" i="9"/>
  <c r="N124" i="9"/>
  <c r="E124" i="9"/>
  <c r="D124" i="9"/>
  <c r="AI123" i="9"/>
  <c r="AH123" i="9"/>
  <c r="AD123" i="9"/>
  <c r="AC123" i="9"/>
  <c r="Y123" i="9"/>
  <c r="X123" i="9"/>
  <c r="T123" i="9"/>
  <c r="S123" i="9"/>
  <c r="O123" i="9"/>
  <c r="N123" i="9"/>
  <c r="E123" i="9"/>
  <c r="D123" i="9"/>
  <c r="AI122" i="9"/>
  <c r="AH122" i="9"/>
  <c r="AD122" i="9"/>
  <c r="AC122" i="9"/>
  <c r="Y122" i="9"/>
  <c r="X122" i="9"/>
  <c r="T122" i="9"/>
  <c r="S122" i="9"/>
  <c r="O122" i="9"/>
  <c r="N122" i="9"/>
  <c r="E122" i="9"/>
  <c r="D122" i="9"/>
  <c r="AI121" i="9"/>
  <c r="AH121" i="9"/>
  <c r="AD121" i="9"/>
  <c r="AC121" i="9"/>
  <c r="Y121" i="9"/>
  <c r="X121" i="9"/>
  <c r="T121" i="9"/>
  <c r="S121" i="9"/>
  <c r="O121" i="9"/>
  <c r="N121" i="9"/>
  <c r="E121" i="9"/>
  <c r="D121" i="9"/>
  <c r="AI120" i="9"/>
  <c r="AH120" i="9"/>
  <c r="AD120" i="9"/>
  <c r="AC120" i="9"/>
  <c r="Y120" i="9"/>
  <c r="X120" i="9"/>
  <c r="T120" i="9"/>
  <c r="S120" i="9"/>
  <c r="O120" i="9"/>
  <c r="N120" i="9"/>
  <c r="E120" i="9"/>
  <c r="D120" i="9"/>
  <c r="AI119" i="9"/>
  <c r="AH119" i="9"/>
  <c r="AD119" i="9"/>
  <c r="AC119" i="9"/>
  <c r="Y119" i="9"/>
  <c r="X119" i="9"/>
  <c r="T119" i="9"/>
  <c r="S119" i="9"/>
  <c r="O119" i="9"/>
  <c r="N119" i="9"/>
  <c r="E119" i="9"/>
  <c r="D119" i="9"/>
  <c r="AI118" i="9"/>
  <c r="AH118" i="9"/>
  <c r="AD118" i="9"/>
  <c r="AC118" i="9"/>
  <c r="Y118" i="9"/>
  <c r="X118" i="9"/>
  <c r="T118" i="9"/>
  <c r="S118" i="9"/>
  <c r="O118" i="9"/>
  <c r="N118" i="9"/>
  <c r="E118" i="9"/>
  <c r="D118" i="9"/>
  <c r="AI117" i="9"/>
  <c r="AH117" i="9"/>
  <c r="AD117" i="9"/>
  <c r="AC117" i="9"/>
  <c r="Y117" i="9"/>
  <c r="X117" i="9"/>
  <c r="T117" i="9"/>
  <c r="S117" i="9"/>
  <c r="O117" i="9"/>
  <c r="N117" i="9"/>
  <c r="E117" i="9"/>
  <c r="D117" i="9"/>
  <c r="AI116" i="9"/>
  <c r="AH116" i="9"/>
  <c r="AD116" i="9"/>
  <c r="AC116" i="9"/>
  <c r="Y116" i="9"/>
  <c r="X116" i="9"/>
  <c r="T116" i="9"/>
  <c r="S116" i="9"/>
  <c r="O116" i="9"/>
  <c r="N116" i="9"/>
  <c r="E116" i="9"/>
  <c r="D116" i="9"/>
  <c r="AI115" i="9"/>
  <c r="AH115" i="9"/>
  <c r="AD115" i="9"/>
  <c r="AC115" i="9"/>
  <c r="Y115" i="9"/>
  <c r="X115" i="9"/>
  <c r="T115" i="9"/>
  <c r="S115" i="9"/>
  <c r="O115" i="9"/>
  <c r="N115" i="9"/>
  <c r="E115" i="9"/>
  <c r="D115" i="9"/>
  <c r="AI114" i="9"/>
  <c r="AH114" i="9"/>
  <c r="AD114" i="9"/>
  <c r="AC114" i="9"/>
  <c r="Y114" i="9"/>
  <c r="X114" i="9"/>
  <c r="T114" i="9"/>
  <c r="S114" i="9"/>
  <c r="O114" i="9"/>
  <c r="N114" i="9"/>
  <c r="E114" i="9"/>
  <c r="D114" i="9"/>
  <c r="AI113" i="9"/>
  <c r="AH113" i="9"/>
  <c r="AD113" i="9"/>
  <c r="AC113" i="9"/>
  <c r="Y113" i="9"/>
  <c r="X113" i="9"/>
  <c r="T113" i="9"/>
  <c r="S113" i="9"/>
  <c r="O113" i="9"/>
  <c r="N113" i="9"/>
  <c r="E113" i="9"/>
  <c r="D113" i="9"/>
  <c r="AI112" i="9"/>
  <c r="AH112" i="9"/>
  <c r="AD112" i="9"/>
  <c r="AC112" i="9"/>
  <c r="Y112" i="9"/>
  <c r="X112" i="9"/>
  <c r="T112" i="9"/>
  <c r="S112" i="9"/>
  <c r="O112" i="9"/>
  <c r="N112" i="9"/>
  <c r="E112" i="9"/>
  <c r="D112" i="9"/>
  <c r="AI111" i="9"/>
  <c r="AH111" i="9"/>
  <c r="AD111" i="9"/>
  <c r="AC111" i="9"/>
  <c r="Y111" i="9"/>
  <c r="X111" i="9"/>
  <c r="T111" i="9"/>
  <c r="S111" i="9"/>
  <c r="O111" i="9"/>
  <c r="N111" i="9"/>
  <c r="E111" i="9"/>
  <c r="D111" i="9"/>
  <c r="AI110" i="9"/>
  <c r="AH110" i="9"/>
  <c r="AD110" i="9"/>
  <c r="AC110" i="9"/>
  <c r="Y110" i="9"/>
  <c r="X110" i="9"/>
  <c r="T110" i="9"/>
  <c r="S110" i="9"/>
  <c r="O110" i="9"/>
  <c r="N110" i="9"/>
  <c r="E110" i="9"/>
  <c r="D110" i="9"/>
  <c r="AI109" i="9"/>
  <c r="AH109" i="9"/>
  <c r="AD109" i="9"/>
  <c r="AC109" i="9"/>
  <c r="Y109" i="9"/>
  <c r="X109" i="9"/>
  <c r="T109" i="9"/>
  <c r="S109" i="9"/>
  <c r="O109" i="9"/>
  <c r="N109" i="9"/>
  <c r="E109" i="9"/>
  <c r="D109" i="9"/>
  <c r="AI108" i="9"/>
  <c r="AH108" i="9"/>
  <c r="AD108" i="9"/>
  <c r="AC108" i="9"/>
  <c r="Y108" i="9"/>
  <c r="X108" i="9"/>
  <c r="T108" i="9"/>
  <c r="S108" i="9"/>
  <c r="O108" i="9"/>
  <c r="N108" i="9"/>
  <c r="E108" i="9"/>
  <c r="D108" i="9"/>
  <c r="AI107" i="9"/>
  <c r="AH107" i="9"/>
  <c r="AD107" i="9"/>
  <c r="AC107" i="9"/>
  <c r="Y107" i="9"/>
  <c r="X107" i="9"/>
  <c r="T107" i="9"/>
  <c r="S107" i="9"/>
  <c r="O107" i="9"/>
  <c r="N107" i="9"/>
  <c r="E107" i="9"/>
  <c r="D107" i="9"/>
  <c r="AI106" i="9"/>
  <c r="AH106" i="9"/>
  <c r="AD106" i="9"/>
  <c r="AC106" i="9"/>
  <c r="Y106" i="9"/>
  <c r="X106" i="9"/>
  <c r="T106" i="9"/>
  <c r="S106" i="9"/>
  <c r="O106" i="9"/>
  <c r="N106" i="9"/>
  <c r="E106" i="9"/>
  <c r="D106" i="9"/>
  <c r="AI105" i="9"/>
  <c r="AH105" i="9"/>
  <c r="AD105" i="9"/>
  <c r="AC105" i="9"/>
  <c r="Y105" i="9"/>
  <c r="X105" i="9"/>
  <c r="T105" i="9"/>
  <c r="S105" i="9"/>
  <c r="O105" i="9"/>
  <c r="N105" i="9"/>
  <c r="E105" i="9"/>
  <c r="D105" i="9"/>
  <c r="AI104" i="9"/>
  <c r="AH104" i="9"/>
  <c r="AD104" i="9"/>
  <c r="AC104" i="9"/>
  <c r="Y104" i="9"/>
  <c r="X104" i="9"/>
  <c r="T104" i="9"/>
  <c r="S104" i="9"/>
  <c r="O104" i="9"/>
  <c r="N104" i="9"/>
  <c r="E104" i="9"/>
  <c r="D104" i="9"/>
  <c r="AI103" i="9"/>
  <c r="AH103" i="9"/>
  <c r="AD103" i="9"/>
  <c r="AC103" i="9"/>
  <c r="Y103" i="9"/>
  <c r="X103" i="9"/>
  <c r="T103" i="9"/>
  <c r="S103" i="9"/>
  <c r="O103" i="9"/>
  <c r="N103" i="9"/>
  <c r="E103" i="9"/>
  <c r="D103" i="9"/>
  <c r="AI102" i="9"/>
  <c r="AH102" i="9"/>
  <c r="AD102" i="9"/>
  <c r="AC102" i="9"/>
  <c r="Y102" i="9"/>
  <c r="X102" i="9"/>
  <c r="T102" i="9"/>
  <c r="S102" i="9"/>
  <c r="O102" i="9"/>
  <c r="N102" i="9"/>
  <c r="E102" i="9"/>
  <c r="D102" i="9"/>
  <c r="AI101" i="9"/>
  <c r="AH101" i="9"/>
  <c r="AD101" i="9"/>
  <c r="AC101" i="9"/>
  <c r="Y101" i="9"/>
  <c r="X101" i="9"/>
  <c r="T101" i="9"/>
  <c r="S101" i="9"/>
  <c r="O101" i="9"/>
  <c r="N101" i="9"/>
  <c r="E101" i="9"/>
  <c r="D101" i="9"/>
  <c r="AI100" i="9"/>
  <c r="AH100" i="9"/>
  <c r="AD100" i="9"/>
  <c r="AC100" i="9"/>
  <c r="Y100" i="9"/>
  <c r="X100" i="9"/>
  <c r="T100" i="9"/>
  <c r="S100" i="9"/>
  <c r="O100" i="9"/>
  <c r="N100" i="9"/>
  <c r="E100" i="9"/>
  <c r="D100" i="9"/>
  <c r="AI99" i="9"/>
  <c r="AH99" i="9"/>
  <c r="AD99" i="9"/>
  <c r="AC99" i="9"/>
  <c r="Y99" i="9"/>
  <c r="X99" i="9"/>
  <c r="T99" i="9"/>
  <c r="S99" i="9"/>
  <c r="O99" i="9"/>
  <c r="N99" i="9"/>
  <c r="E99" i="9"/>
  <c r="D99" i="9"/>
  <c r="AI98" i="9"/>
  <c r="AH98" i="9"/>
  <c r="AD98" i="9"/>
  <c r="AC98" i="9"/>
  <c r="Y98" i="9"/>
  <c r="X98" i="9"/>
  <c r="T98" i="9"/>
  <c r="S98" i="9"/>
  <c r="O98" i="9"/>
  <c r="N98" i="9"/>
  <c r="E98" i="9"/>
  <c r="D98" i="9"/>
  <c r="AI97" i="9"/>
  <c r="AH97" i="9"/>
  <c r="AD97" i="9"/>
  <c r="AC97" i="9"/>
  <c r="Y97" i="9"/>
  <c r="X97" i="9"/>
  <c r="T97" i="9"/>
  <c r="S97" i="9"/>
  <c r="O97" i="9"/>
  <c r="N97" i="9"/>
  <c r="E97" i="9"/>
  <c r="D97" i="9"/>
  <c r="AI96" i="9"/>
  <c r="AH96" i="9"/>
  <c r="AD96" i="9"/>
  <c r="AC96" i="9"/>
  <c r="Y96" i="9"/>
  <c r="X96" i="9"/>
  <c r="T96" i="9"/>
  <c r="S96" i="9"/>
  <c r="O96" i="9"/>
  <c r="N96" i="9"/>
  <c r="E96" i="9"/>
  <c r="D96" i="9"/>
  <c r="AI95" i="9"/>
  <c r="AH95" i="9"/>
  <c r="AD95" i="9"/>
  <c r="AC95" i="9"/>
  <c r="Y95" i="9"/>
  <c r="X95" i="9"/>
  <c r="T95" i="9"/>
  <c r="S95" i="9"/>
  <c r="O95" i="9"/>
  <c r="N95" i="9"/>
  <c r="E95" i="9"/>
  <c r="D95" i="9"/>
  <c r="AI94" i="9"/>
  <c r="AH94" i="9"/>
  <c r="AD94" i="9"/>
  <c r="AC94" i="9"/>
  <c r="Y94" i="9"/>
  <c r="X94" i="9"/>
  <c r="T94" i="9"/>
  <c r="S94" i="9"/>
  <c r="O94" i="9"/>
  <c r="N94" i="9"/>
  <c r="E94" i="9"/>
  <c r="D94" i="9"/>
  <c r="AI93" i="9"/>
  <c r="AH93" i="9"/>
  <c r="AD93" i="9"/>
  <c r="AC93" i="9"/>
  <c r="Y93" i="9"/>
  <c r="X93" i="9"/>
  <c r="T93" i="9"/>
  <c r="S93" i="9"/>
  <c r="O93" i="9"/>
  <c r="N93" i="9"/>
  <c r="E93" i="9"/>
  <c r="D93" i="9"/>
  <c r="AI92" i="9"/>
  <c r="AH92" i="9"/>
  <c r="AD92" i="9"/>
  <c r="AC92" i="9"/>
  <c r="Y92" i="9"/>
  <c r="X92" i="9"/>
  <c r="T92" i="9"/>
  <c r="S92" i="9"/>
  <c r="O92" i="9"/>
  <c r="N92" i="9"/>
  <c r="E92" i="9"/>
  <c r="D92" i="9"/>
  <c r="AI91" i="9"/>
  <c r="AH91" i="9"/>
  <c r="AD91" i="9"/>
  <c r="AC91" i="9"/>
  <c r="Y91" i="9"/>
  <c r="X91" i="9"/>
  <c r="T91" i="9"/>
  <c r="S91" i="9"/>
  <c r="O91" i="9"/>
  <c r="N91" i="9"/>
  <c r="E91" i="9"/>
  <c r="D91" i="9"/>
  <c r="AI90" i="9"/>
  <c r="AH90" i="9"/>
  <c r="AD90" i="9"/>
  <c r="AC90" i="9"/>
  <c r="Y90" i="9"/>
  <c r="X90" i="9"/>
  <c r="T90" i="9"/>
  <c r="S90" i="9"/>
  <c r="O90" i="9"/>
  <c r="N90" i="9"/>
  <c r="E90" i="9"/>
  <c r="D90" i="9"/>
  <c r="AI89" i="9"/>
  <c r="AH89" i="9"/>
  <c r="AD89" i="9"/>
  <c r="AC89" i="9"/>
  <c r="Y89" i="9"/>
  <c r="X89" i="9"/>
  <c r="T89" i="9"/>
  <c r="S89" i="9"/>
  <c r="O89" i="9"/>
  <c r="N89" i="9"/>
  <c r="E89" i="9"/>
  <c r="D89" i="9"/>
  <c r="AI88" i="9"/>
  <c r="AH88" i="9"/>
  <c r="AD88" i="9"/>
  <c r="AC88" i="9"/>
  <c r="Y88" i="9"/>
  <c r="X88" i="9"/>
  <c r="T88" i="9"/>
  <c r="S88" i="9"/>
  <c r="O88" i="9"/>
  <c r="N88" i="9"/>
  <c r="E88" i="9"/>
  <c r="D88" i="9"/>
  <c r="AI87" i="9"/>
  <c r="AH87" i="9"/>
  <c r="AD87" i="9"/>
  <c r="AC87" i="9"/>
  <c r="Y87" i="9"/>
  <c r="X87" i="9"/>
  <c r="T87" i="9"/>
  <c r="S87" i="9"/>
  <c r="O87" i="9"/>
  <c r="N87" i="9"/>
  <c r="E87" i="9"/>
  <c r="D87" i="9"/>
  <c r="AI86" i="9"/>
  <c r="AH86" i="9"/>
  <c r="AD86" i="9"/>
  <c r="AC86" i="9"/>
  <c r="Y86" i="9"/>
  <c r="X86" i="9"/>
  <c r="T86" i="9"/>
  <c r="S86" i="9"/>
  <c r="O86" i="9"/>
  <c r="N86" i="9"/>
  <c r="E86" i="9"/>
  <c r="D86" i="9"/>
  <c r="AI85" i="9"/>
  <c r="AH85" i="9"/>
  <c r="AD85" i="9"/>
  <c r="AC85" i="9"/>
  <c r="Y85" i="9"/>
  <c r="X85" i="9"/>
  <c r="T85" i="9"/>
  <c r="S85" i="9"/>
  <c r="O85" i="9"/>
  <c r="N85" i="9"/>
  <c r="E85" i="9"/>
  <c r="D85" i="9"/>
  <c r="AI84" i="9"/>
  <c r="AH84" i="9"/>
  <c r="AD84" i="9"/>
  <c r="AC84" i="9"/>
  <c r="Y84" i="9"/>
  <c r="X84" i="9"/>
  <c r="T84" i="9"/>
  <c r="S84" i="9"/>
  <c r="O84" i="9"/>
  <c r="N84" i="9"/>
  <c r="E84" i="9"/>
  <c r="D84" i="9"/>
  <c r="AI83" i="9"/>
  <c r="AH83" i="9"/>
  <c r="AD83" i="9"/>
  <c r="AC83" i="9"/>
  <c r="Y83" i="9"/>
  <c r="X83" i="9"/>
  <c r="T83" i="9"/>
  <c r="S83" i="9"/>
  <c r="O83" i="9"/>
  <c r="N83" i="9"/>
  <c r="E83" i="9"/>
  <c r="D83" i="9"/>
  <c r="AI82" i="9"/>
  <c r="AH82" i="9"/>
  <c r="AD82" i="9"/>
  <c r="AC82" i="9"/>
  <c r="Y82" i="9"/>
  <c r="X82" i="9"/>
  <c r="T82" i="9"/>
  <c r="S82" i="9"/>
  <c r="O82" i="9"/>
  <c r="N82" i="9"/>
  <c r="E82" i="9"/>
  <c r="D82" i="9"/>
  <c r="AI81" i="9"/>
  <c r="AH81" i="9"/>
  <c r="AD81" i="9"/>
  <c r="AC81" i="9"/>
  <c r="Y81" i="9"/>
  <c r="X81" i="9"/>
  <c r="T81" i="9"/>
  <c r="S81" i="9"/>
  <c r="O81" i="9"/>
  <c r="N81" i="9"/>
  <c r="E81" i="9"/>
  <c r="D81" i="9"/>
  <c r="AI80" i="9"/>
  <c r="AH80" i="9"/>
  <c r="AD80" i="9"/>
  <c r="AC80" i="9"/>
  <c r="Y80" i="9"/>
  <c r="X80" i="9"/>
  <c r="T80" i="9"/>
  <c r="S80" i="9"/>
  <c r="O80" i="9"/>
  <c r="N80" i="9"/>
  <c r="E80" i="9"/>
  <c r="D80" i="9"/>
  <c r="AI79" i="9"/>
  <c r="AH79" i="9"/>
  <c r="AD79" i="9"/>
  <c r="AC79" i="9"/>
  <c r="Y79" i="9"/>
  <c r="X79" i="9"/>
  <c r="T79" i="9"/>
  <c r="S79" i="9"/>
  <c r="O79" i="9"/>
  <c r="N79" i="9"/>
  <c r="E79" i="9"/>
  <c r="D79" i="9"/>
  <c r="AI78" i="9"/>
  <c r="AH78" i="9"/>
  <c r="AD78" i="9"/>
  <c r="AC78" i="9"/>
  <c r="Y78" i="9"/>
  <c r="X78" i="9"/>
  <c r="T78" i="9"/>
  <c r="S78" i="9"/>
  <c r="O78" i="9"/>
  <c r="N78" i="9"/>
  <c r="E78" i="9"/>
  <c r="D78" i="9"/>
  <c r="AI77" i="9"/>
  <c r="AH77" i="9"/>
  <c r="AD77" i="9"/>
  <c r="AC77" i="9"/>
  <c r="Y77" i="9"/>
  <c r="X77" i="9"/>
  <c r="T77" i="9"/>
  <c r="S77" i="9"/>
  <c r="O77" i="9"/>
  <c r="N77" i="9"/>
  <c r="E77" i="9"/>
  <c r="D77" i="9"/>
  <c r="AI76" i="9"/>
  <c r="AH76" i="9"/>
  <c r="AD76" i="9"/>
  <c r="AC76" i="9"/>
  <c r="Y76" i="9"/>
  <c r="X76" i="9"/>
  <c r="T76" i="9"/>
  <c r="S76" i="9"/>
  <c r="O76" i="9"/>
  <c r="N76" i="9"/>
  <c r="E76" i="9"/>
  <c r="D76" i="9"/>
  <c r="AI75" i="9"/>
  <c r="AH75" i="9"/>
  <c r="AD75" i="9"/>
  <c r="AC75" i="9"/>
  <c r="Y75" i="9"/>
  <c r="X75" i="9"/>
  <c r="T75" i="9"/>
  <c r="S75" i="9"/>
  <c r="O75" i="9"/>
  <c r="N75" i="9"/>
  <c r="E75" i="9"/>
  <c r="D75" i="9"/>
  <c r="AI74" i="9"/>
  <c r="AH74" i="9"/>
  <c r="AD74" i="9"/>
  <c r="AC74" i="9"/>
  <c r="Y74" i="9"/>
  <c r="X74" i="9"/>
  <c r="T74" i="9"/>
  <c r="S74" i="9"/>
  <c r="O74" i="9"/>
  <c r="N74" i="9"/>
  <c r="E74" i="9"/>
  <c r="D74" i="9"/>
  <c r="AI73" i="9"/>
  <c r="AH73" i="9"/>
  <c r="AD73" i="9"/>
  <c r="AC73" i="9"/>
  <c r="Y73" i="9"/>
  <c r="X73" i="9"/>
  <c r="T73" i="9"/>
  <c r="S73" i="9"/>
  <c r="O73" i="9"/>
  <c r="N73" i="9"/>
  <c r="E73" i="9"/>
  <c r="D73" i="9"/>
  <c r="AI72" i="9"/>
  <c r="AH72" i="9"/>
  <c r="AD72" i="9"/>
  <c r="AC72" i="9"/>
  <c r="Y72" i="9"/>
  <c r="X72" i="9"/>
  <c r="T72" i="9"/>
  <c r="S72" i="9"/>
  <c r="O72" i="9"/>
  <c r="N72" i="9"/>
  <c r="E72" i="9"/>
  <c r="D72" i="9"/>
  <c r="AI71" i="9"/>
  <c r="AH71" i="9"/>
  <c r="AD71" i="9"/>
  <c r="AC71" i="9"/>
  <c r="Y71" i="9"/>
  <c r="X71" i="9"/>
  <c r="T71" i="9"/>
  <c r="S71" i="9"/>
  <c r="O71" i="9"/>
  <c r="N71" i="9"/>
  <c r="E71" i="9"/>
  <c r="D71" i="9"/>
  <c r="AI70" i="9"/>
  <c r="AH70" i="9"/>
  <c r="AD70" i="9"/>
  <c r="AC70" i="9"/>
  <c r="Y70" i="9"/>
  <c r="X70" i="9"/>
  <c r="T70" i="9"/>
  <c r="S70" i="9"/>
  <c r="O70" i="9"/>
  <c r="N70" i="9"/>
  <c r="E70" i="9"/>
  <c r="D70" i="9"/>
  <c r="AI69" i="9"/>
  <c r="AH69" i="9"/>
  <c r="AD69" i="9"/>
  <c r="AC69" i="9"/>
  <c r="Y69" i="9"/>
  <c r="X69" i="9"/>
  <c r="T69" i="9"/>
  <c r="S69" i="9"/>
  <c r="O69" i="9"/>
  <c r="N69" i="9"/>
  <c r="E69" i="9"/>
  <c r="D69" i="9"/>
  <c r="AI68" i="9"/>
  <c r="AH68" i="9"/>
  <c r="AD68" i="9"/>
  <c r="AC68" i="9"/>
  <c r="Y68" i="9"/>
  <c r="X68" i="9"/>
  <c r="T68" i="9"/>
  <c r="S68" i="9"/>
  <c r="O68" i="9"/>
  <c r="N68" i="9"/>
  <c r="E68" i="9"/>
  <c r="D68" i="9"/>
  <c r="AI67" i="9"/>
  <c r="AH67" i="9"/>
  <c r="AD67" i="9"/>
  <c r="AC67" i="9"/>
  <c r="Y67" i="9"/>
  <c r="X67" i="9"/>
  <c r="T67" i="9"/>
  <c r="S67" i="9"/>
  <c r="O67" i="9"/>
  <c r="N67" i="9"/>
  <c r="E67" i="9"/>
  <c r="D67" i="9"/>
  <c r="AI66" i="9"/>
  <c r="AH66" i="9"/>
  <c r="AD66" i="9"/>
  <c r="AC66" i="9"/>
  <c r="Y66" i="9"/>
  <c r="X66" i="9"/>
  <c r="T66" i="9"/>
  <c r="S66" i="9"/>
  <c r="O66" i="9"/>
  <c r="N66" i="9"/>
  <c r="E66" i="9"/>
  <c r="D66" i="9"/>
  <c r="AI65" i="9"/>
  <c r="AH65" i="9"/>
  <c r="AD65" i="9"/>
  <c r="AC65" i="9"/>
  <c r="Y65" i="9"/>
  <c r="X65" i="9"/>
  <c r="T65" i="9"/>
  <c r="S65" i="9"/>
  <c r="O65" i="9"/>
  <c r="N65" i="9"/>
  <c r="E65" i="9"/>
  <c r="D65" i="9"/>
  <c r="AI64" i="9"/>
  <c r="AH64" i="9"/>
  <c r="AD64" i="9"/>
  <c r="AC64" i="9"/>
  <c r="Y64" i="9"/>
  <c r="X64" i="9"/>
  <c r="T64" i="9"/>
  <c r="S64" i="9"/>
  <c r="O64" i="9"/>
  <c r="N64" i="9"/>
  <c r="E64" i="9"/>
  <c r="D64" i="9"/>
  <c r="AI63" i="9"/>
  <c r="AH63" i="9"/>
  <c r="AD63" i="9"/>
  <c r="AC63" i="9"/>
  <c r="Y63" i="9"/>
  <c r="X63" i="9"/>
  <c r="T63" i="9"/>
  <c r="S63" i="9"/>
  <c r="O63" i="9"/>
  <c r="N63" i="9"/>
  <c r="E63" i="9"/>
  <c r="D63" i="9"/>
  <c r="AI62" i="9"/>
  <c r="AH62" i="9"/>
  <c r="AD62" i="9"/>
  <c r="AC62" i="9"/>
  <c r="Y62" i="9"/>
  <c r="X62" i="9"/>
  <c r="T62" i="9"/>
  <c r="S62" i="9"/>
  <c r="O62" i="9"/>
  <c r="N62" i="9"/>
  <c r="E62" i="9"/>
  <c r="D62" i="9"/>
  <c r="AI61" i="9"/>
  <c r="AH61" i="9"/>
  <c r="AD61" i="9"/>
  <c r="AC61" i="9"/>
  <c r="Y61" i="9"/>
  <c r="X61" i="9"/>
  <c r="T61" i="9"/>
  <c r="S61" i="9"/>
  <c r="O61" i="9"/>
  <c r="N61" i="9"/>
  <c r="E61" i="9"/>
  <c r="D61" i="9"/>
  <c r="AI60" i="9"/>
  <c r="AH60" i="9"/>
  <c r="AD60" i="9"/>
  <c r="AC60" i="9"/>
  <c r="Y60" i="9"/>
  <c r="X60" i="9"/>
  <c r="T60" i="9"/>
  <c r="S60" i="9"/>
  <c r="O60" i="9"/>
  <c r="N60" i="9"/>
  <c r="E60" i="9"/>
  <c r="D60" i="9"/>
  <c r="AI59" i="9"/>
  <c r="AH59" i="9"/>
  <c r="AD59" i="9"/>
  <c r="AC59" i="9"/>
  <c r="Y59" i="9"/>
  <c r="X59" i="9"/>
  <c r="T59" i="9"/>
  <c r="S59" i="9"/>
  <c r="O59" i="9"/>
  <c r="N59" i="9"/>
  <c r="E59" i="9"/>
  <c r="D59" i="9"/>
  <c r="AI58" i="9"/>
  <c r="AH58" i="9"/>
  <c r="AD58" i="9"/>
  <c r="AC58" i="9"/>
  <c r="Y58" i="9"/>
  <c r="X58" i="9"/>
  <c r="T58" i="9"/>
  <c r="S58" i="9"/>
  <c r="O58" i="9"/>
  <c r="N58" i="9"/>
  <c r="E58" i="9"/>
  <c r="D58" i="9"/>
  <c r="AI57" i="9"/>
  <c r="AH57" i="9"/>
  <c r="AD57" i="9"/>
  <c r="AC57" i="9"/>
  <c r="Y57" i="9"/>
  <c r="X57" i="9"/>
  <c r="T57" i="9"/>
  <c r="S57" i="9"/>
  <c r="O57" i="9"/>
  <c r="N57" i="9"/>
  <c r="E57" i="9"/>
  <c r="D57" i="9"/>
  <c r="AI56" i="9"/>
  <c r="AH56" i="9"/>
  <c r="AD56" i="9"/>
  <c r="AC56" i="9"/>
  <c r="Y56" i="9"/>
  <c r="X56" i="9"/>
  <c r="T56" i="9"/>
  <c r="S56" i="9"/>
  <c r="O56" i="9"/>
  <c r="N56" i="9"/>
  <c r="E56" i="9"/>
  <c r="D56" i="9"/>
  <c r="AI55" i="9"/>
  <c r="AH55" i="9"/>
  <c r="AD55" i="9"/>
  <c r="AC55" i="9"/>
  <c r="Y55" i="9"/>
  <c r="X55" i="9"/>
  <c r="T55" i="9"/>
  <c r="S55" i="9"/>
  <c r="O55" i="9"/>
  <c r="N55" i="9"/>
  <c r="E55" i="9"/>
  <c r="D55" i="9"/>
  <c r="AI54" i="9"/>
  <c r="AH54" i="9"/>
  <c r="AD54" i="9"/>
  <c r="AC54" i="9"/>
  <c r="Y54" i="9"/>
  <c r="X54" i="9"/>
  <c r="T54" i="9"/>
  <c r="S54" i="9"/>
  <c r="O54" i="9"/>
  <c r="N54" i="9"/>
  <c r="E54" i="9"/>
  <c r="D54" i="9"/>
  <c r="AI53" i="9"/>
  <c r="AH53" i="9"/>
  <c r="AD53" i="9"/>
  <c r="AC53" i="9"/>
  <c r="Y53" i="9"/>
  <c r="X53" i="9"/>
  <c r="T53" i="9"/>
  <c r="S53" i="9"/>
  <c r="O53" i="9"/>
  <c r="N53" i="9"/>
  <c r="E53" i="9"/>
  <c r="D53" i="9"/>
  <c r="AI52" i="9"/>
  <c r="AH52" i="9"/>
  <c r="AD52" i="9"/>
  <c r="AC52" i="9"/>
  <c r="Y52" i="9"/>
  <c r="X52" i="9"/>
  <c r="T52" i="9"/>
  <c r="S52" i="9"/>
  <c r="O52" i="9"/>
  <c r="N52" i="9"/>
  <c r="E52" i="9"/>
  <c r="D52" i="9"/>
  <c r="AI51" i="9"/>
  <c r="AH51" i="9"/>
  <c r="AD51" i="9"/>
  <c r="AC51" i="9"/>
  <c r="Y51" i="9"/>
  <c r="X51" i="9"/>
  <c r="T51" i="9"/>
  <c r="S51" i="9"/>
  <c r="O51" i="9"/>
  <c r="N51" i="9"/>
  <c r="E51" i="9"/>
  <c r="D51" i="9"/>
  <c r="AI50" i="9"/>
  <c r="AH50" i="9"/>
  <c r="AD50" i="9"/>
  <c r="AC50" i="9"/>
  <c r="Y50" i="9"/>
  <c r="X50" i="9"/>
  <c r="T50" i="9"/>
  <c r="S50" i="9"/>
  <c r="O50" i="9"/>
  <c r="N50" i="9"/>
  <c r="E50" i="9"/>
  <c r="D50" i="9"/>
  <c r="AI49" i="9"/>
  <c r="AH49" i="9"/>
  <c r="AD49" i="9"/>
  <c r="AC49" i="9"/>
  <c r="Y49" i="9"/>
  <c r="X49" i="9"/>
  <c r="T49" i="9"/>
  <c r="S49" i="9"/>
  <c r="O49" i="9"/>
  <c r="N49" i="9"/>
  <c r="E49" i="9"/>
  <c r="D49" i="9"/>
  <c r="AI48" i="9"/>
  <c r="AH48" i="9"/>
  <c r="AD48" i="9"/>
  <c r="AC48" i="9"/>
  <c r="Y48" i="9"/>
  <c r="X48" i="9"/>
  <c r="T48" i="9"/>
  <c r="S48" i="9"/>
  <c r="O48" i="9"/>
  <c r="N48" i="9"/>
  <c r="E48" i="9"/>
  <c r="D48" i="9"/>
  <c r="AI47" i="9"/>
  <c r="AH47" i="9"/>
  <c r="AD47" i="9"/>
  <c r="AC47" i="9"/>
  <c r="Y47" i="9"/>
  <c r="X47" i="9"/>
  <c r="T47" i="9"/>
  <c r="S47" i="9"/>
  <c r="O47" i="9"/>
  <c r="N47" i="9"/>
  <c r="E47" i="9"/>
  <c r="D47" i="9"/>
  <c r="AI46" i="9"/>
  <c r="AH46" i="9"/>
  <c r="AD46" i="9"/>
  <c r="AC46" i="9"/>
  <c r="Y46" i="9"/>
  <c r="X46" i="9"/>
  <c r="T46" i="9"/>
  <c r="S46" i="9"/>
  <c r="O46" i="9"/>
  <c r="N46" i="9"/>
  <c r="E46" i="9"/>
  <c r="D46" i="9"/>
  <c r="AI45" i="9"/>
  <c r="AH45" i="9"/>
  <c r="AD45" i="9"/>
  <c r="AC45" i="9"/>
  <c r="Y45" i="9"/>
  <c r="X45" i="9"/>
  <c r="T45" i="9"/>
  <c r="S45" i="9"/>
  <c r="O45" i="9"/>
  <c r="N45" i="9"/>
  <c r="E45" i="9"/>
  <c r="D45" i="9"/>
  <c r="AI44" i="9"/>
  <c r="AH44" i="9"/>
  <c r="AD44" i="9"/>
  <c r="AC44" i="9"/>
  <c r="Y44" i="9"/>
  <c r="X44" i="9"/>
  <c r="T44" i="9"/>
  <c r="S44" i="9"/>
  <c r="O44" i="9"/>
  <c r="N44" i="9"/>
  <c r="E44" i="9"/>
  <c r="D44" i="9"/>
  <c r="AI43" i="9"/>
  <c r="AH43" i="9"/>
  <c r="AD43" i="9"/>
  <c r="AC43" i="9"/>
  <c r="Y43" i="9"/>
  <c r="X43" i="9"/>
  <c r="T43" i="9"/>
  <c r="S43" i="9"/>
  <c r="O43" i="9"/>
  <c r="N43" i="9"/>
  <c r="E43" i="9"/>
  <c r="D43" i="9"/>
  <c r="AI42" i="9"/>
  <c r="AH42" i="9"/>
  <c r="AD42" i="9"/>
  <c r="AC42" i="9"/>
  <c r="Y42" i="9"/>
  <c r="X42" i="9"/>
  <c r="T42" i="9"/>
  <c r="S42" i="9"/>
  <c r="O42" i="9"/>
  <c r="N42" i="9"/>
  <c r="E42" i="9"/>
  <c r="D42" i="9"/>
  <c r="AI41" i="9"/>
  <c r="AH41" i="9"/>
  <c r="AD41" i="9"/>
  <c r="AC41" i="9"/>
  <c r="Y41" i="9"/>
  <c r="X41" i="9"/>
  <c r="T41" i="9"/>
  <c r="S41" i="9"/>
  <c r="O41" i="9"/>
  <c r="N41" i="9"/>
  <c r="E41" i="9"/>
  <c r="D41" i="9"/>
  <c r="AI40" i="9"/>
  <c r="AH40" i="9"/>
  <c r="AD40" i="9"/>
  <c r="AC40" i="9"/>
  <c r="Y40" i="9"/>
  <c r="X40" i="9"/>
  <c r="T40" i="9"/>
  <c r="S40" i="9"/>
  <c r="O40" i="9"/>
  <c r="N40" i="9"/>
  <c r="E40" i="9"/>
  <c r="D40" i="9"/>
  <c r="AI39" i="9"/>
  <c r="AH39" i="9"/>
  <c r="AD39" i="9"/>
  <c r="AC39" i="9"/>
  <c r="Y39" i="9"/>
  <c r="X39" i="9"/>
  <c r="T39" i="9"/>
  <c r="S39" i="9"/>
  <c r="O39" i="9"/>
  <c r="N39" i="9"/>
  <c r="E39" i="9"/>
  <c r="D39" i="9"/>
  <c r="AI38" i="9"/>
  <c r="AH38" i="9"/>
  <c r="AD38" i="9"/>
  <c r="AC38" i="9"/>
  <c r="Y38" i="9"/>
  <c r="X38" i="9"/>
  <c r="T38" i="9"/>
  <c r="S38" i="9"/>
  <c r="O38" i="9"/>
  <c r="N38" i="9"/>
  <c r="E38" i="9"/>
  <c r="D38" i="9"/>
  <c r="AI37" i="9"/>
  <c r="AH37" i="9"/>
  <c r="AD37" i="9"/>
  <c r="AC37" i="9"/>
  <c r="Y37" i="9"/>
  <c r="X37" i="9"/>
  <c r="T37" i="9"/>
  <c r="S37" i="9"/>
  <c r="O37" i="9"/>
  <c r="N37" i="9"/>
  <c r="E37" i="9"/>
  <c r="D37" i="9"/>
  <c r="AI36" i="9"/>
  <c r="AH36" i="9"/>
  <c r="AD36" i="9"/>
  <c r="AC36" i="9"/>
  <c r="Y36" i="9"/>
  <c r="X36" i="9"/>
  <c r="T36" i="9"/>
  <c r="S36" i="9"/>
  <c r="O36" i="9"/>
  <c r="N36" i="9"/>
  <c r="E36" i="9"/>
  <c r="D36" i="9"/>
  <c r="AI35" i="9"/>
  <c r="AH35" i="9"/>
  <c r="AD35" i="9"/>
  <c r="AC35" i="9"/>
  <c r="Y35" i="9"/>
  <c r="X35" i="9"/>
  <c r="T35" i="9"/>
  <c r="S35" i="9"/>
  <c r="O35" i="9"/>
  <c r="N35" i="9"/>
  <c r="E35" i="9"/>
  <c r="D35" i="9"/>
  <c r="AI34" i="9"/>
  <c r="AH34" i="9"/>
  <c r="AD34" i="9"/>
  <c r="AC34" i="9"/>
  <c r="Y34" i="9"/>
  <c r="X34" i="9"/>
  <c r="T34" i="9"/>
  <c r="S34" i="9"/>
  <c r="O34" i="9"/>
  <c r="N34" i="9"/>
  <c r="E34" i="9"/>
  <c r="D34" i="9"/>
  <c r="AI33" i="9"/>
  <c r="AH33" i="9"/>
  <c r="AD33" i="9"/>
  <c r="AC33" i="9"/>
  <c r="Y33" i="9"/>
  <c r="X33" i="9"/>
  <c r="T33" i="9"/>
  <c r="S33" i="9"/>
  <c r="O33" i="9"/>
  <c r="N33" i="9"/>
  <c r="E33" i="9"/>
  <c r="D33" i="9"/>
  <c r="AI32" i="9"/>
  <c r="AH32" i="9"/>
  <c r="AD32" i="9"/>
  <c r="AC32" i="9"/>
  <c r="Y32" i="9"/>
  <c r="X32" i="9"/>
  <c r="T32" i="9"/>
  <c r="S32" i="9"/>
  <c r="O32" i="9"/>
  <c r="N32" i="9"/>
  <c r="E32" i="9"/>
  <c r="D32" i="9"/>
  <c r="AI31" i="9"/>
  <c r="AH31" i="9"/>
  <c r="AD31" i="9"/>
  <c r="AC31" i="9"/>
  <c r="Y31" i="9"/>
  <c r="X31" i="9"/>
  <c r="T31" i="9"/>
  <c r="S31" i="9"/>
  <c r="O31" i="9"/>
  <c r="N31" i="9"/>
  <c r="E31" i="9"/>
  <c r="D31" i="9"/>
  <c r="AI30" i="9"/>
  <c r="AH30" i="9"/>
  <c r="AD30" i="9"/>
  <c r="AC30" i="9"/>
  <c r="Y30" i="9"/>
  <c r="X30" i="9"/>
  <c r="T30" i="9"/>
  <c r="S30" i="9"/>
  <c r="O30" i="9"/>
  <c r="N30" i="9"/>
  <c r="E30" i="9"/>
  <c r="D30" i="9"/>
  <c r="AI28" i="9"/>
  <c r="AH28" i="9"/>
  <c r="AG28" i="9"/>
  <c r="AD28" i="9"/>
  <c r="AC28" i="9"/>
  <c r="AB28" i="9"/>
  <c r="Y28" i="9"/>
  <c r="X28" i="9"/>
  <c r="W28" i="9"/>
  <c r="T28" i="9"/>
  <c r="S28" i="9"/>
  <c r="R28" i="9"/>
  <c r="O28" i="9"/>
  <c r="N28" i="9"/>
  <c r="M28" i="9"/>
  <c r="E28" i="9"/>
  <c r="D28" i="9"/>
  <c r="C28" i="9"/>
  <c r="B12" i="9"/>
  <c r="B9" i="9"/>
  <c r="R11" i="9" l="1"/>
  <c r="R6" i="9"/>
  <c r="I130" i="9"/>
  <c r="G25" i="9" a="1"/>
  <c r="G25" i="9" s="1"/>
  <c r="G23" i="9"/>
  <c r="G20" i="9"/>
  <c r="H18" i="9"/>
  <c r="J130" i="9"/>
  <c r="B17" i="9"/>
  <c r="R4" i="9" s="1"/>
  <c r="L17" i="9"/>
  <c r="R8" i="9"/>
  <c r="X130" i="9"/>
  <c r="W18" i="9" s="1"/>
  <c r="N3" i="9"/>
  <c r="N130" i="9"/>
  <c r="M18" i="9" s="1"/>
  <c r="Y130" i="9"/>
  <c r="AI130" i="9"/>
  <c r="AC130" i="9"/>
  <c r="AA25" i="9" s="1" a="1"/>
  <c r="AA25" i="9" s="1"/>
  <c r="AD130" i="9"/>
  <c r="AH130" i="9"/>
  <c r="AF23" i="9" s="1"/>
  <c r="D130" i="9"/>
  <c r="C18" i="9" s="1"/>
  <c r="S130" i="9"/>
  <c r="S8" i="9" s="1"/>
  <c r="E130" i="9"/>
  <c r="T4" i="9" s="1"/>
  <c r="L23" i="9"/>
  <c r="T6" i="9"/>
  <c r="L20" i="9" l="1"/>
  <c r="S6" i="9"/>
  <c r="L25" i="9" a="1"/>
  <c r="L25" i="9" s="1"/>
  <c r="O130" i="9"/>
  <c r="S11" i="9"/>
  <c r="T11" i="9" s="1"/>
  <c r="V23" i="9"/>
  <c r="AG18" i="9"/>
  <c r="AA20" i="9"/>
  <c r="AA23" i="9"/>
  <c r="AB18" i="9"/>
  <c r="V20" i="9"/>
  <c r="V25" i="9" a="1"/>
  <c r="V25" i="9" s="1"/>
  <c r="T130" i="9"/>
  <c r="Q23" i="9"/>
  <c r="Q20" i="9"/>
  <c r="R18" i="9"/>
  <c r="Q25" i="9" a="1"/>
  <c r="Q25" i="9" s="1"/>
  <c r="B20" i="9"/>
  <c r="S4" i="9" s="1"/>
  <c r="AF20" i="9"/>
  <c r="AF25" i="9" a="1"/>
  <c r="AF25" i="9" s="1"/>
  <c r="B23" i="9"/>
  <c r="T8" i="9"/>
  <c r="B25" i="9" a="1"/>
  <c r="B25" i="9" s="1"/>
  <c r="N8" i="9"/>
  <c r="K96" i="8" l="1"/>
  <c r="G96" i="8"/>
  <c r="K95" i="8"/>
  <c r="G95" i="8"/>
  <c r="K94" i="8"/>
  <c r="G94" i="8"/>
  <c r="K93" i="8"/>
  <c r="G93" i="8"/>
  <c r="K92" i="8"/>
  <c r="G92" i="8"/>
  <c r="K91" i="8"/>
  <c r="G91" i="8"/>
  <c r="K90" i="8"/>
  <c r="G90" i="8"/>
  <c r="K89" i="8"/>
  <c r="G89" i="8"/>
  <c r="K88" i="8"/>
  <c r="G88" i="8"/>
  <c r="K87" i="8"/>
  <c r="G87" i="8"/>
  <c r="K86" i="8"/>
  <c r="G86" i="8"/>
  <c r="K85" i="8"/>
  <c r="G85" i="8"/>
  <c r="K84" i="8"/>
  <c r="G84" i="8"/>
  <c r="K83" i="8"/>
  <c r="G83" i="8"/>
  <c r="K82" i="8"/>
  <c r="G82" i="8"/>
  <c r="K81" i="8"/>
  <c r="G81" i="8"/>
  <c r="K80" i="8"/>
  <c r="G80" i="8"/>
  <c r="B80" i="8"/>
  <c r="K79" i="8"/>
  <c r="G79" i="8"/>
  <c r="B79" i="8"/>
  <c r="K78" i="8"/>
  <c r="G78" i="8"/>
  <c r="B78" i="8"/>
  <c r="K77" i="8"/>
  <c r="G77" i="8"/>
  <c r="B77" i="8"/>
  <c r="K76" i="8"/>
  <c r="G76" i="8"/>
  <c r="B76" i="8"/>
  <c r="K75" i="8"/>
  <c r="G75" i="8"/>
  <c r="B75" i="8"/>
  <c r="K74" i="8"/>
  <c r="G74" i="8"/>
  <c r="B74" i="8"/>
  <c r="K73" i="8"/>
  <c r="G73" i="8"/>
  <c r="B73" i="8"/>
  <c r="K72" i="8"/>
  <c r="G72" i="8"/>
  <c r="B72" i="8"/>
  <c r="K71" i="8"/>
  <c r="G71" i="8"/>
  <c r="B71" i="8"/>
  <c r="K70" i="8"/>
  <c r="G70" i="8"/>
  <c r="B70" i="8"/>
  <c r="K69" i="8"/>
  <c r="G69" i="8"/>
  <c r="B69" i="8"/>
  <c r="K68" i="8"/>
  <c r="G68" i="8"/>
  <c r="B68" i="8"/>
  <c r="K67" i="8"/>
  <c r="G67" i="8"/>
  <c r="B67" i="8"/>
  <c r="K66" i="8"/>
  <c r="G66" i="8"/>
  <c r="B66" i="8"/>
  <c r="K65" i="8"/>
  <c r="G65" i="8"/>
  <c r="B65" i="8"/>
  <c r="K64" i="8"/>
  <c r="G64" i="8"/>
  <c r="B64" i="8"/>
  <c r="K63" i="8"/>
  <c r="G63" i="8"/>
  <c r="B63" i="8"/>
  <c r="K62" i="8"/>
  <c r="G62" i="8"/>
  <c r="B62" i="8"/>
  <c r="K61" i="8"/>
  <c r="G61" i="8"/>
  <c r="B61" i="8"/>
  <c r="K60" i="8"/>
  <c r="G60" i="8"/>
  <c r="B60" i="8"/>
  <c r="K59" i="8"/>
  <c r="G59" i="8"/>
  <c r="B59" i="8"/>
  <c r="K58" i="8"/>
  <c r="G58" i="8"/>
  <c r="B58" i="8"/>
  <c r="K57" i="8"/>
  <c r="G57" i="8"/>
  <c r="B57" i="8"/>
  <c r="K56" i="8"/>
  <c r="G56" i="8"/>
  <c r="B56" i="8"/>
  <c r="K55" i="8"/>
  <c r="G55" i="8"/>
  <c r="B55" i="8"/>
  <c r="K54" i="8"/>
  <c r="G54" i="8"/>
  <c r="B54" i="8"/>
  <c r="K53" i="8"/>
  <c r="G53" i="8"/>
  <c r="B53" i="8"/>
  <c r="K52" i="8"/>
  <c r="G52" i="8"/>
  <c r="B52" i="8"/>
  <c r="K51" i="8"/>
  <c r="G51" i="8"/>
  <c r="B51" i="8"/>
  <c r="K50" i="8"/>
  <c r="G50" i="8"/>
  <c r="B50" i="8"/>
  <c r="K49" i="8"/>
  <c r="G49" i="8"/>
  <c r="B49" i="8"/>
  <c r="K48" i="8"/>
  <c r="G48" i="8"/>
  <c r="B48" i="8"/>
  <c r="K47" i="8"/>
  <c r="G47" i="8"/>
  <c r="B47" i="8"/>
  <c r="K46" i="8"/>
  <c r="G46" i="8"/>
  <c r="B46" i="8"/>
  <c r="K45" i="8"/>
  <c r="G45" i="8"/>
  <c r="B45" i="8"/>
  <c r="J44" i="8"/>
  <c r="I44" i="8"/>
  <c r="H44" i="8"/>
  <c r="K44" i="8" s="1"/>
  <c r="G44" i="8"/>
  <c r="B44" i="8"/>
  <c r="J43" i="8"/>
  <c r="I43" i="8"/>
  <c r="H43" i="8"/>
  <c r="K43" i="8" s="1"/>
  <c r="G43" i="8"/>
  <c r="B43" i="8"/>
  <c r="J42" i="8"/>
  <c r="I42" i="8"/>
  <c r="H42" i="8"/>
  <c r="K42" i="8" s="1"/>
  <c r="G42" i="8"/>
  <c r="B42" i="8"/>
  <c r="J41" i="8"/>
  <c r="I41" i="8"/>
  <c r="H41" i="8"/>
  <c r="K41" i="8" s="1"/>
  <c r="G41" i="8"/>
  <c r="B41" i="8"/>
  <c r="J40" i="8"/>
  <c r="I40" i="8"/>
  <c r="H40" i="8"/>
  <c r="K40" i="8" s="1"/>
  <c r="G40" i="8"/>
  <c r="B40" i="8"/>
  <c r="J39" i="8"/>
  <c r="I39" i="8"/>
  <c r="H39" i="8"/>
  <c r="K39" i="8" s="1"/>
  <c r="G39" i="8"/>
  <c r="B39" i="8"/>
  <c r="J38" i="8"/>
  <c r="I38" i="8"/>
  <c r="H38" i="8"/>
  <c r="K38" i="8" s="1"/>
  <c r="G38" i="8"/>
  <c r="B38" i="8"/>
  <c r="J37" i="8"/>
  <c r="I37" i="8"/>
  <c r="H37" i="8"/>
  <c r="K37" i="8" s="1"/>
  <c r="G37" i="8"/>
  <c r="B37" i="8"/>
  <c r="J36" i="8"/>
  <c r="I36" i="8"/>
  <c r="H36" i="8"/>
  <c r="K36" i="8" s="1"/>
  <c r="G36" i="8"/>
  <c r="E36" i="8"/>
  <c r="E75" i="8" s="1"/>
  <c r="B36" i="8"/>
  <c r="J35" i="8"/>
  <c r="I35" i="8"/>
  <c r="H35" i="8"/>
  <c r="K35" i="8" s="1"/>
  <c r="G35" i="8"/>
  <c r="E35" i="8"/>
  <c r="B35" i="8"/>
  <c r="J34" i="8"/>
  <c r="I34" i="8"/>
  <c r="H34" i="8"/>
  <c r="K34" i="8" s="1"/>
  <c r="G34" i="8"/>
  <c r="E34" i="8"/>
  <c r="B34" i="8"/>
  <c r="J33" i="8"/>
  <c r="I33" i="8"/>
  <c r="H33" i="8"/>
  <c r="K33" i="8" s="1"/>
  <c r="G33" i="8"/>
  <c r="B33" i="8"/>
  <c r="J32" i="8"/>
  <c r="I32" i="8"/>
  <c r="H32" i="8"/>
  <c r="K32" i="8" s="1"/>
  <c r="G32" i="8"/>
  <c r="B32" i="8"/>
  <c r="J31" i="8"/>
  <c r="I31" i="8"/>
  <c r="H31" i="8"/>
  <c r="K31" i="8" s="1"/>
  <c r="G31" i="8"/>
  <c r="B31" i="8"/>
  <c r="J30" i="8"/>
  <c r="I30" i="8"/>
  <c r="H30" i="8"/>
  <c r="K30" i="8" s="1"/>
  <c r="G30" i="8"/>
  <c r="B30" i="8"/>
  <c r="J29" i="8"/>
  <c r="I29" i="8"/>
  <c r="H29" i="8"/>
  <c r="K29" i="8" s="1"/>
  <c r="G29" i="8"/>
  <c r="B29" i="8"/>
  <c r="J28" i="8"/>
  <c r="I28" i="8"/>
  <c r="H28" i="8"/>
  <c r="K28" i="8" s="1"/>
  <c r="G28" i="8"/>
  <c r="B28" i="8"/>
  <c r="J27" i="8"/>
  <c r="I27" i="8"/>
  <c r="H27" i="8"/>
  <c r="K27" i="8" s="1"/>
  <c r="G27" i="8"/>
  <c r="B27" i="8"/>
  <c r="J26" i="8"/>
  <c r="I26" i="8"/>
  <c r="H26" i="8"/>
  <c r="K26" i="8" s="1"/>
  <c r="G26" i="8"/>
  <c r="J25" i="8"/>
  <c r="I25" i="8"/>
  <c r="H25" i="8"/>
  <c r="K25" i="8" s="1"/>
  <c r="G25" i="8"/>
  <c r="J24" i="8"/>
  <c r="I24" i="8"/>
  <c r="H24" i="8"/>
  <c r="K24" i="8" s="1"/>
  <c r="G24" i="8"/>
  <c r="B24" i="8"/>
  <c r="J23" i="8"/>
  <c r="I23" i="8"/>
  <c r="H23" i="8"/>
  <c r="K23" i="8" s="1"/>
  <c r="G23" i="8"/>
  <c r="B23" i="8"/>
  <c r="J22" i="8"/>
  <c r="I22" i="8"/>
  <c r="H22" i="8"/>
  <c r="K22" i="8" s="1"/>
  <c r="G22" i="8"/>
  <c r="B22" i="8"/>
  <c r="J21" i="8"/>
  <c r="I21" i="8"/>
  <c r="H21" i="8"/>
  <c r="K21" i="8" s="1"/>
  <c r="G21" i="8"/>
  <c r="B21" i="8"/>
  <c r="J20" i="8"/>
  <c r="I20" i="8"/>
  <c r="H20" i="8"/>
  <c r="K20" i="8" s="1"/>
  <c r="G20" i="8"/>
  <c r="J19" i="8"/>
  <c r="I19" i="8"/>
  <c r="H19" i="8"/>
  <c r="K19" i="8" s="1"/>
  <c r="G19" i="8"/>
  <c r="J18" i="8"/>
  <c r="I18" i="8"/>
  <c r="H18" i="8"/>
  <c r="K18" i="8" s="1"/>
  <c r="G18" i="8"/>
  <c r="J17" i="8"/>
  <c r="I17" i="8"/>
  <c r="H17" i="8"/>
  <c r="K17" i="8" s="1"/>
  <c r="G17" i="8"/>
  <c r="B17" i="8"/>
  <c r="J16" i="8"/>
  <c r="I16" i="8"/>
  <c r="H16" i="8"/>
  <c r="K16" i="8" s="1"/>
  <c r="G16" i="8"/>
  <c r="B16" i="8"/>
  <c r="J15" i="8"/>
  <c r="I15" i="8"/>
  <c r="H15" i="8"/>
  <c r="K15" i="8" s="1"/>
  <c r="G15" i="8"/>
  <c r="B15" i="8"/>
  <c r="J14" i="8"/>
  <c r="I14" i="8"/>
  <c r="H14" i="8"/>
  <c r="K14" i="8" s="1"/>
  <c r="G14" i="8"/>
  <c r="E14" i="8"/>
  <c r="B14" i="8"/>
  <c r="J13" i="8"/>
  <c r="I13" i="8"/>
  <c r="H13" i="8"/>
  <c r="K13" i="8" s="1"/>
  <c r="G13" i="8"/>
  <c r="B13" i="8"/>
  <c r="I12" i="8"/>
  <c r="H12" i="8"/>
  <c r="K12" i="8" s="1"/>
  <c r="G12" i="8"/>
  <c r="B12" i="8"/>
  <c r="J11" i="8"/>
  <c r="I11" i="8"/>
  <c r="H11" i="8"/>
  <c r="K11" i="8" s="1"/>
  <c r="G11" i="8"/>
  <c r="B11" i="8"/>
  <c r="I10" i="8"/>
  <c r="H10" i="8"/>
  <c r="K10" i="8" s="1"/>
  <c r="G10" i="8"/>
  <c r="B10" i="8"/>
  <c r="J9" i="8"/>
  <c r="I9" i="8"/>
  <c r="H9" i="8"/>
  <c r="K9" i="8" s="1"/>
  <c r="G9" i="8"/>
  <c r="B9" i="8"/>
  <c r="J8" i="8"/>
  <c r="I8" i="8"/>
  <c r="H8" i="8"/>
  <c r="K8" i="8" s="1"/>
  <c r="G8" i="8"/>
  <c r="B8" i="8"/>
  <c r="C5" i="8"/>
  <c r="C4" i="8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L47" i="7"/>
  <c r="L48" i="7" s="1"/>
  <c r="L49" i="7" s="1"/>
  <c r="L50" i="7" s="1"/>
  <c r="G47" i="7"/>
  <c r="G46" i="7"/>
  <c r="G45" i="7"/>
  <c r="G44" i="7"/>
  <c r="G43" i="7"/>
  <c r="G42" i="7"/>
  <c r="L41" i="7"/>
  <c r="L42" i="7" s="1"/>
  <c r="L43" i="7" s="1"/>
  <c r="L44" i="7" s="1"/>
  <c r="L45" i="7" s="1"/>
  <c r="G41" i="7"/>
  <c r="L40" i="7"/>
  <c r="G40" i="7"/>
  <c r="G39" i="7"/>
  <c r="G38" i="7"/>
  <c r="G37" i="7"/>
  <c r="G36" i="7"/>
  <c r="G35" i="7"/>
  <c r="G34" i="7"/>
  <c r="G33" i="7"/>
  <c r="L32" i="7"/>
  <c r="L33" i="7" s="1"/>
  <c r="L34" i="7" s="1"/>
  <c r="L35" i="7" s="1"/>
  <c r="L36" i="7" s="1"/>
  <c r="L37" i="7" s="1"/>
  <c r="G32" i="7"/>
  <c r="G31" i="7"/>
  <c r="G30" i="7"/>
  <c r="G29" i="7"/>
  <c r="G28" i="7"/>
  <c r="F28" i="7"/>
  <c r="L27" i="7"/>
  <c r="L28" i="7" s="1"/>
  <c r="L29" i="7" s="1"/>
  <c r="L30" i="7" s="1"/>
  <c r="G27" i="7"/>
  <c r="L26" i="7"/>
  <c r="G26" i="7"/>
  <c r="G25" i="7"/>
  <c r="G24" i="7"/>
  <c r="D4" i="7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L48" i="6"/>
  <c r="L49" i="6" s="1"/>
  <c r="L50" i="6" s="1"/>
  <c r="G48" i="6"/>
  <c r="L47" i="6"/>
  <c r="G47" i="6"/>
  <c r="G46" i="6"/>
  <c r="G45" i="6"/>
  <c r="G44" i="6"/>
  <c r="G43" i="6"/>
  <c r="G42" i="6"/>
  <c r="G41" i="6"/>
  <c r="L40" i="6"/>
  <c r="L41" i="6" s="1"/>
  <c r="L42" i="6" s="1"/>
  <c r="L43" i="6" s="1"/>
  <c r="L44" i="6" s="1"/>
  <c r="L45" i="6" s="1"/>
  <c r="G40" i="6"/>
  <c r="G39" i="6"/>
  <c r="G38" i="6"/>
  <c r="G37" i="6"/>
  <c r="G36" i="6"/>
  <c r="G35" i="6"/>
  <c r="G34" i="6"/>
  <c r="G33" i="6"/>
  <c r="L32" i="6"/>
  <c r="L33" i="6" s="1"/>
  <c r="L34" i="6" s="1"/>
  <c r="L35" i="6" s="1"/>
  <c r="L36" i="6" s="1"/>
  <c r="L37" i="6" s="1"/>
  <c r="G32" i="6"/>
  <c r="G31" i="6"/>
  <c r="G30" i="6"/>
  <c r="G29" i="6"/>
  <c r="E29" i="6"/>
  <c r="G28" i="6"/>
  <c r="G27" i="6"/>
  <c r="L26" i="6"/>
  <c r="L27" i="6" s="1"/>
  <c r="L28" i="6" s="1"/>
  <c r="L29" i="6" s="1"/>
  <c r="L30" i="6" s="1"/>
  <c r="G26" i="6"/>
  <c r="G25" i="6"/>
  <c r="G24" i="6"/>
  <c r="D4" i="6"/>
  <c r="G64" i="5"/>
  <c r="G63" i="5"/>
  <c r="G62" i="5"/>
  <c r="G61" i="5"/>
  <c r="G60" i="5"/>
  <c r="G59" i="5"/>
  <c r="G58" i="5"/>
  <c r="G57" i="5"/>
  <c r="G56" i="5"/>
  <c r="G55" i="5"/>
  <c r="G54" i="5"/>
  <c r="G53" i="5"/>
  <c r="F53" i="5"/>
  <c r="G52" i="5"/>
  <c r="G51" i="5"/>
  <c r="L50" i="5"/>
  <c r="G50" i="5"/>
  <c r="L49" i="5"/>
  <c r="G49" i="5"/>
  <c r="F49" i="5"/>
  <c r="L48" i="5"/>
  <c r="G48" i="5"/>
  <c r="F48" i="5"/>
  <c r="L47" i="5"/>
  <c r="G47" i="5"/>
  <c r="F47" i="5"/>
  <c r="G46" i="5"/>
  <c r="F46" i="5"/>
  <c r="G45" i="5"/>
  <c r="F45" i="5"/>
  <c r="G44" i="5"/>
  <c r="F44" i="5"/>
  <c r="G43" i="5"/>
  <c r="G42" i="5"/>
  <c r="F42" i="5"/>
  <c r="L41" i="5"/>
  <c r="L42" i="5" s="1"/>
  <c r="L43" i="5" s="1"/>
  <c r="L44" i="5" s="1"/>
  <c r="L45" i="5" s="1"/>
  <c r="G41" i="5"/>
  <c r="F41" i="5"/>
  <c r="L40" i="5"/>
  <c r="G40" i="5"/>
  <c r="F40" i="5"/>
  <c r="G39" i="5"/>
  <c r="F39" i="5"/>
  <c r="G38" i="5"/>
  <c r="F38" i="5"/>
  <c r="G37" i="5"/>
  <c r="F37" i="5"/>
  <c r="G36" i="5"/>
  <c r="F36" i="5"/>
  <c r="G35" i="5"/>
  <c r="F35" i="5"/>
  <c r="G34" i="5"/>
  <c r="F34" i="5"/>
  <c r="E34" i="5"/>
  <c r="G33" i="5"/>
  <c r="F33" i="5"/>
  <c r="L32" i="5"/>
  <c r="L33" i="5" s="1"/>
  <c r="L34" i="5" s="1"/>
  <c r="L35" i="5" s="1"/>
  <c r="L36" i="5" s="1"/>
  <c r="L37" i="5" s="1"/>
  <c r="G32" i="5"/>
  <c r="F32" i="5"/>
  <c r="G31" i="5"/>
  <c r="F31" i="5"/>
  <c r="G30" i="5"/>
  <c r="F30" i="5"/>
  <c r="G29" i="5"/>
  <c r="F29" i="5"/>
  <c r="G28" i="5"/>
  <c r="F28" i="5"/>
  <c r="L27" i="5"/>
  <c r="L28" i="5" s="1"/>
  <c r="L29" i="5" s="1"/>
  <c r="L30" i="5" s="1"/>
  <c r="G27" i="5"/>
  <c r="F27" i="5"/>
  <c r="L26" i="5"/>
  <c r="G26" i="5"/>
  <c r="F26" i="5"/>
  <c r="G25" i="5"/>
  <c r="F25" i="5"/>
  <c r="G24" i="5"/>
  <c r="F24" i="5"/>
  <c r="H24" i="5" s="1"/>
  <c r="D4" i="5"/>
  <c r="K96" i="4"/>
  <c r="G96" i="4"/>
  <c r="K95" i="4"/>
  <c r="G95" i="4"/>
  <c r="K94" i="4"/>
  <c r="G94" i="4"/>
  <c r="K93" i="4"/>
  <c r="G93" i="4"/>
  <c r="K92" i="4"/>
  <c r="G92" i="4"/>
  <c r="K91" i="4"/>
  <c r="G91" i="4"/>
  <c r="K90" i="4"/>
  <c r="G90" i="4"/>
  <c r="K89" i="4"/>
  <c r="G89" i="4"/>
  <c r="K88" i="4"/>
  <c r="G88" i="4"/>
  <c r="K87" i="4"/>
  <c r="G87" i="4"/>
  <c r="K86" i="4"/>
  <c r="G86" i="4"/>
  <c r="K85" i="4"/>
  <c r="G85" i="4"/>
  <c r="K84" i="4"/>
  <c r="G84" i="4"/>
  <c r="K83" i="4"/>
  <c r="G83" i="4"/>
  <c r="K82" i="4"/>
  <c r="G82" i="4"/>
  <c r="K81" i="4"/>
  <c r="G81" i="4"/>
  <c r="K80" i="4"/>
  <c r="G80" i="4"/>
  <c r="B80" i="4"/>
  <c r="K79" i="4"/>
  <c r="G79" i="4"/>
  <c r="B79" i="4"/>
  <c r="K78" i="4"/>
  <c r="G78" i="4"/>
  <c r="B78" i="4"/>
  <c r="K77" i="4"/>
  <c r="G77" i="4"/>
  <c r="B77" i="4"/>
  <c r="K76" i="4"/>
  <c r="G76" i="4"/>
  <c r="B76" i="4"/>
  <c r="K75" i="4"/>
  <c r="G75" i="4"/>
  <c r="B75" i="4"/>
  <c r="K74" i="4"/>
  <c r="G74" i="4"/>
  <c r="B74" i="4"/>
  <c r="K73" i="4"/>
  <c r="G73" i="4"/>
  <c r="B73" i="4"/>
  <c r="K72" i="4"/>
  <c r="G72" i="4"/>
  <c r="B72" i="4"/>
  <c r="K71" i="4"/>
  <c r="G71" i="4"/>
  <c r="B71" i="4"/>
  <c r="K70" i="4"/>
  <c r="G70" i="4"/>
  <c r="B70" i="4"/>
  <c r="K69" i="4"/>
  <c r="G69" i="4"/>
  <c r="B69" i="4"/>
  <c r="K68" i="4"/>
  <c r="G68" i="4"/>
  <c r="B68" i="4"/>
  <c r="K67" i="4"/>
  <c r="G67" i="4"/>
  <c r="B67" i="4"/>
  <c r="K66" i="4"/>
  <c r="G66" i="4"/>
  <c r="B66" i="4"/>
  <c r="K65" i="4"/>
  <c r="G65" i="4"/>
  <c r="B65" i="4"/>
  <c r="K64" i="4"/>
  <c r="G64" i="4"/>
  <c r="B64" i="4"/>
  <c r="K63" i="4"/>
  <c r="G63" i="4"/>
  <c r="B63" i="4"/>
  <c r="K62" i="4"/>
  <c r="G62" i="4"/>
  <c r="B62" i="4"/>
  <c r="K61" i="4"/>
  <c r="G61" i="4"/>
  <c r="B61" i="4"/>
  <c r="K60" i="4"/>
  <c r="G60" i="4"/>
  <c r="B60" i="4"/>
  <c r="K59" i="4"/>
  <c r="G59" i="4"/>
  <c r="B59" i="4"/>
  <c r="K58" i="4"/>
  <c r="G58" i="4"/>
  <c r="B58" i="4"/>
  <c r="K57" i="4"/>
  <c r="G57" i="4"/>
  <c r="B57" i="4"/>
  <c r="K56" i="4"/>
  <c r="G56" i="4"/>
  <c r="B56" i="4"/>
  <c r="K55" i="4"/>
  <c r="G55" i="4"/>
  <c r="B55" i="4"/>
  <c r="K54" i="4"/>
  <c r="G54" i="4"/>
  <c r="B54" i="4"/>
  <c r="K53" i="4"/>
  <c r="G53" i="4"/>
  <c r="B53" i="4"/>
  <c r="K52" i="4"/>
  <c r="G52" i="4"/>
  <c r="B52" i="4"/>
  <c r="K51" i="4"/>
  <c r="G51" i="4"/>
  <c r="B51" i="4"/>
  <c r="K50" i="4"/>
  <c r="G50" i="4"/>
  <c r="B50" i="4"/>
  <c r="K49" i="4"/>
  <c r="G49" i="4"/>
  <c r="B49" i="4"/>
  <c r="K48" i="4"/>
  <c r="G48" i="4"/>
  <c r="B48" i="4"/>
  <c r="K47" i="4"/>
  <c r="G47" i="4"/>
  <c r="B47" i="4"/>
  <c r="K46" i="4"/>
  <c r="G46" i="4"/>
  <c r="B46" i="4"/>
  <c r="K45" i="4"/>
  <c r="G45" i="4"/>
  <c r="B45" i="4"/>
  <c r="J44" i="4"/>
  <c r="I44" i="4"/>
  <c r="H44" i="4"/>
  <c r="K44" i="4" s="1"/>
  <c r="G44" i="4"/>
  <c r="B44" i="4"/>
  <c r="J43" i="4"/>
  <c r="I43" i="4"/>
  <c r="H43" i="4"/>
  <c r="K43" i="4" s="1"/>
  <c r="G43" i="4"/>
  <c r="B43" i="4"/>
  <c r="J42" i="4"/>
  <c r="I42" i="4"/>
  <c r="H42" i="4"/>
  <c r="K42" i="4" s="1"/>
  <c r="G42" i="4"/>
  <c r="B42" i="4"/>
  <c r="J41" i="4"/>
  <c r="I41" i="4"/>
  <c r="H41" i="4"/>
  <c r="K41" i="4" s="1"/>
  <c r="G41" i="4"/>
  <c r="B41" i="4"/>
  <c r="J40" i="4"/>
  <c r="I40" i="4"/>
  <c r="H40" i="4"/>
  <c r="K40" i="4" s="1"/>
  <c r="G40" i="4"/>
  <c r="B40" i="4"/>
  <c r="J39" i="4"/>
  <c r="I39" i="4"/>
  <c r="H39" i="4"/>
  <c r="K39" i="4" s="1"/>
  <c r="G39" i="4"/>
  <c r="B39" i="4"/>
  <c r="J38" i="4"/>
  <c r="I38" i="4"/>
  <c r="H38" i="4"/>
  <c r="K38" i="4" s="1"/>
  <c r="G38" i="4"/>
  <c r="B38" i="4"/>
  <c r="J37" i="4"/>
  <c r="I37" i="4"/>
  <c r="H37" i="4"/>
  <c r="K37" i="4" s="1"/>
  <c r="G37" i="4"/>
  <c r="B37" i="4"/>
  <c r="J36" i="4"/>
  <c r="I36" i="4"/>
  <c r="H36" i="4"/>
  <c r="K36" i="4" s="1"/>
  <c r="G36" i="4"/>
  <c r="E36" i="4"/>
  <c r="B36" i="4"/>
  <c r="J35" i="4"/>
  <c r="I35" i="4"/>
  <c r="H35" i="4"/>
  <c r="K35" i="4" s="1"/>
  <c r="G35" i="4"/>
  <c r="E35" i="4"/>
  <c r="B35" i="4"/>
  <c r="J34" i="4"/>
  <c r="I34" i="4"/>
  <c r="H34" i="4"/>
  <c r="K34" i="4" s="1"/>
  <c r="G34" i="4"/>
  <c r="E34" i="4"/>
  <c r="C4" i="4" s="1"/>
  <c r="B34" i="4"/>
  <c r="J33" i="4"/>
  <c r="I33" i="4"/>
  <c r="H33" i="4"/>
  <c r="K33" i="4" s="1"/>
  <c r="G33" i="4"/>
  <c r="B33" i="4"/>
  <c r="J32" i="4"/>
  <c r="I32" i="4"/>
  <c r="H32" i="4"/>
  <c r="K32" i="4" s="1"/>
  <c r="G32" i="4"/>
  <c r="B32" i="4"/>
  <c r="J31" i="4"/>
  <c r="I31" i="4"/>
  <c r="H31" i="4"/>
  <c r="K31" i="4" s="1"/>
  <c r="G31" i="4"/>
  <c r="B31" i="4"/>
  <c r="J30" i="4"/>
  <c r="I30" i="4"/>
  <c r="H30" i="4"/>
  <c r="K30" i="4" s="1"/>
  <c r="G30" i="4"/>
  <c r="B30" i="4"/>
  <c r="J29" i="4"/>
  <c r="I29" i="4"/>
  <c r="H29" i="4"/>
  <c r="K29" i="4" s="1"/>
  <c r="G29" i="4"/>
  <c r="B29" i="4"/>
  <c r="J28" i="4"/>
  <c r="I28" i="4"/>
  <c r="H28" i="4"/>
  <c r="K28" i="4" s="1"/>
  <c r="G28" i="4"/>
  <c r="B28" i="4"/>
  <c r="J27" i="4"/>
  <c r="I27" i="4"/>
  <c r="H27" i="4"/>
  <c r="K27" i="4" s="1"/>
  <c r="G27" i="4"/>
  <c r="B27" i="4"/>
  <c r="J26" i="4"/>
  <c r="I26" i="4"/>
  <c r="H26" i="4"/>
  <c r="K26" i="4" s="1"/>
  <c r="G26" i="4"/>
  <c r="J25" i="4"/>
  <c r="I25" i="4"/>
  <c r="H25" i="4"/>
  <c r="K25" i="4" s="1"/>
  <c r="G25" i="4"/>
  <c r="J24" i="4"/>
  <c r="I24" i="4"/>
  <c r="H24" i="4"/>
  <c r="K24" i="4" s="1"/>
  <c r="G24" i="4"/>
  <c r="B24" i="4"/>
  <c r="J23" i="4"/>
  <c r="I23" i="4"/>
  <c r="H23" i="4"/>
  <c r="K23" i="4" s="1"/>
  <c r="G23" i="4"/>
  <c r="B23" i="4"/>
  <c r="J22" i="4"/>
  <c r="I22" i="4"/>
  <c r="H22" i="4"/>
  <c r="K22" i="4" s="1"/>
  <c r="G22" i="4"/>
  <c r="B22" i="4"/>
  <c r="J21" i="4"/>
  <c r="I21" i="4"/>
  <c r="H21" i="4"/>
  <c r="K21" i="4" s="1"/>
  <c r="G21" i="4"/>
  <c r="B21" i="4"/>
  <c r="J20" i="4"/>
  <c r="I20" i="4"/>
  <c r="H20" i="4"/>
  <c r="K20" i="4" s="1"/>
  <c r="G20" i="4"/>
  <c r="J19" i="4"/>
  <c r="I19" i="4"/>
  <c r="H19" i="4"/>
  <c r="K19" i="4" s="1"/>
  <c r="G19" i="4"/>
  <c r="J18" i="4"/>
  <c r="I18" i="4"/>
  <c r="H18" i="4"/>
  <c r="K18" i="4" s="1"/>
  <c r="G18" i="4"/>
  <c r="J17" i="4"/>
  <c r="I17" i="4"/>
  <c r="H17" i="4"/>
  <c r="K17" i="4" s="1"/>
  <c r="G17" i="4"/>
  <c r="B17" i="4"/>
  <c r="J16" i="4"/>
  <c r="I16" i="4"/>
  <c r="H16" i="4"/>
  <c r="K16" i="4" s="1"/>
  <c r="G16" i="4"/>
  <c r="B16" i="4"/>
  <c r="J15" i="4"/>
  <c r="I15" i="4"/>
  <c r="H15" i="4"/>
  <c r="K15" i="4" s="1"/>
  <c r="G15" i="4"/>
  <c r="B15" i="4"/>
  <c r="J14" i="4"/>
  <c r="I14" i="4"/>
  <c r="H14" i="4"/>
  <c r="K14" i="4" s="1"/>
  <c r="G14" i="4"/>
  <c r="E14" i="4"/>
  <c r="E75" i="4" s="1"/>
  <c r="B14" i="4"/>
  <c r="J13" i="4"/>
  <c r="I13" i="4"/>
  <c r="H13" i="4"/>
  <c r="K13" i="4" s="1"/>
  <c r="G13" i="4"/>
  <c r="B13" i="4"/>
  <c r="I12" i="4"/>
  <c r="H12" i="4"/>
  <c r="K12" i="4" s="1"/>
  <c r="G12" i="4"/>
  <c r="B12" i="4"/>
  <c r="J11" i="4"/>
  <c r="I11" i="4"/>
  <c r="H11" i="4"/>
  <c r="K11" i="4" s="1"/>
  <c r="G11" i="4"/>
  <c r="B11" i="4"/>
  <c r="I10" i="4"/>
  <c r="H10" i="4"/>
  <c r="K10" i="4" s="1"/>
  <c r="G10" i="4"/>
  <c r="B10" i="4"/>
  <c r="J9" i="4"/>
  <c r="I9" i="4"/>
  <c r="H9" i="4"/>
  <c r="K9" i="4" s="1"/>
  <c r="G9" i="4"/>
  <c r="B9" i="4"/>
  <c r="J8" i="4"/>
  <c r="I8" i="4"/>
  <c r="H8" i="4"/>
  <c r="K8" i="4" s="1"/>
  <c r="G8" i="4"/>
  <c r="B8" i="4"/>
  <c r="C5" i="4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D39" i="3"/>
  <c r="A39" i="3"/>
  <c r="D38" i="3"/>
  <c r="A38" i="3"/>
  <c r="D37" i="3"/>
  <c r="B4" i="3" s="1"/>
  <c r="A37" i="3"/>
  <c r="A36" i="3"/>
  <c r="A35" i="3"/>
  <c r="A34" i="3"/>
  <c r="A33" i="3"/>
  <c r="A32" i="3"/>
  <c r="A31" i="3"/>
  <c r="A30" i="3"/>
  <c r="A27" i="3"/>
  <c r="A25" i="3"/>
  <c r="A24" i="3"/>
  <c r="A23" i="3"/>
  <c r="A22" i="3"/>
  <c r="A17" i="3"/>
  <c r="A16" i="3"/>
  <c r="A15" i="3"/>
  <c r="D14" i="3"/>
  <c r="D77" i="3" s="1"/>
  <c r="A14" i="3"/>
  <c r="A13" i="3"/>
  <c r="A12" i="3"/>
  <c r="A11" i="3"/>
  <c r="A10" i="3"/>
  <c r="A9" i="3"/>
  <c r="A8" i="3"/>
  <c r="B5" i="3"/>
  <c r="K94" i="2"/>
  <c r="J94" i="2"/>
  <c r="F94" i="2"/>
  <c r="K93" i="2"/>
  <c r="J93" i="2"/>
  <c r="F93" i="2"/>
  <c r="K92" i="2"/>
  <c r="J92" i="2"/>
  <c r="F92" i="2"/>
  <c r="K91" i="2"/>
  <c r="J91" i="2"/>
  <c r="F91" i="2"/>
  <c r="K90" i="2"/>
  <c r="J90" i="2"/>
  <c r="F90" i="2"/>
  <c r="K89" i="2"/>
  <c r="J89" i="2"/>
  <c r="F89" i="2"/>
  <c r="K88" i="2"/>
  <c r="J88" i="2"/>
  <c r="F88" i="2"/>
  <c r="K87" i="2"/>
  <c r="J87" i="2"/>
  <c r="F87" i="2"/>
  <c r="K86" i="2"/>
  <c r="J86" i="2"/>
  <c r="F86" i="2"/>
  <c r="K85" i="2"/>
  <c r="J85" i="2"/>
  <c r="F85" i="2"/>
  <c r="K84" i="2"/>
  <c r="J84" i="2"/>
  <c r="F84" i="2"/>
  <c r="K83" i="2"/>
  <c r="J83" i="2"/>
  <c r="F83" i="2"/>
  <c r="K82" i="2"/>
  <c r="J82" i="2"/>
  <c r="F82" i="2"/>
  <c r="K81" i="2"/>
  <c r="J81" i="2"/>
  <c r="F81" i="2"/>
  <c r="K80" i="2"/>
  <c r="J80" i="2"/>
  <c r="F80" i="2"/>
  <c r="K79" i="2"/>
  <c r="J79" i="2"/>
  <c r="F79" i="2"/>
  <c r="K78" i="2"/>
  <c r="J78" i="2"/>
  <c r="F78" i="2"/>
  <c r="K77" i="2"/>
  <c r="J77" i="2"/>
  <c r="F77" i="2"/>
  <c r="K76" i="2"/>
  <c r="J76" i="2"/>
  <c r="F76" i="2"/>
  <c r="K75" i="2"/>
  <c r="J75" i="2"/>
  <c r="F75" i="2"/>
  <c r="K74" i="2"/>
  <c r="J74" i="2"/>
  <c r="F74" i="2"/>
  <c r="K73" i="2"/>
  <c r="J73" i="2"/>
  <c r="F73" i="2"/>
  <c r="K72" i="2"/>
  <c r="J72" i="2"/>
  <c r="F72" i="2"/>
  <c r="K71" i="2"/>
  <c r="J71" i="2"/>
  <c r="F71" i="2"/>
  <c r="K70" i="2"/>
  <c r="J70" i="2"/>
  <c r="F70" i="2"/>
  <c r="K69" i="2"/>
  <c r="J69" i="2"/>
  <c r="F69" i="2"/>
  <c r="K68" i="2"/>
  <c r="J68" i="2"/>
  <c r="F68" i="2"/>
  <c r="K67" i="2"/>
  <c r="J67" i="2"/>
  <c r="F67" i="2"/>
  <c r="K66" i="2"/>
  <c r="J66" i="2"/>
  <c r="F66" i="2"/>
  <c r="K65" i="2"/>
  <c r="J65" i="2"/>
  <c r="F65" i="2"/>
  <c r="K64" i="2"/>
  <c r="J64" i="2"/>
  <c r="F64" i="2"/>
  <c r="K63" i="2"/>
  <c r="J63" i="2"/>
  <c r="F63" i="2"/>
  <c r="K62" i="2"/>
  <c r="J62" i="2"/>
  <c r="F62" i="2"/>
  <c r="K61" i="2"/>
  <c r="J61" i="2"/>
  <c r="F61" i="2"/>
  <c r="K60" i="2"/>
  <c r="J60" i="2"/>
  <c r="F60" i="2"/>
  <c r="K59" i="2"/>
  <c r="J59" i="2"/>
  <c r="F59" i="2"/>
  <c r="K58" i="2"/>
  <c r="J58" i="2"/>
  <c r="F58" i="2"/>
  <c r="I57" i="2"/>
  <c r="H57" i="2"/>
  <c r="K57" i="2" s="1"/>
  <c r="G57" i="2"/>
  <c r="F57" i="2"/>
  <c r="I56" i="2"/>
  <c r="H56" i="2"/>
  <c r="K56" i="2" s="1"/>
  <c r="G56" i="2"/>
  <c r="F56" i="2"/>
  <c r="I55" i="2"/>
  <c r="H55" i="2"/>
  <c r="K55" i="2" s="1"/>
  <c r="G55" i="2"/>
  <c r="F55" i="2"/>
  <c r="I54" i="2"/>
  <c r="H54" i="2"/>
  <c r="K54" i="2" s="1"/>
  <c r="G54" i="2"/>
  <c r="F54" i="2"/>
  <c r="I53" i="2"/>
  <c r="H53" i="2"/>
  <c r="K53" i="2" s="1"/>
  <c r="G53" i="2"/>
  <c r="F53" i="2"/>
  <c r="I52" i="2"/>
  <c r="H52" i="2"/>
  <c r="K52" i="2" s="1"/>
  <c r="G52" i="2"/>
  <c r="F52" i="2"/>
  <c r="I51" i="2"/>
  <c r="H51" i="2"/>
  <c r="K51" i="2" s="1"/>
  <c r="G51" i="2"/>
  <c r="F51" i="2"/>
  <c r="I50" i="2"/>
  <c r="H50" i="2"/>
  <c r="K50" i="2" s="1"/>
  <c r="G50" i="2"/>
  <c r="F50" i="2"/>
  <c r="I49" i="2"/>
  <c r="H49" i="2"/>
  <c r="K49" i="2" s="1"/>
  <c r="G49" i="2"/>
  <c r="F49" i="2"/>
  <c r="I48" i="2"/>
  <c r="H48" i="2"/>
  <c r="K48" i="2" s="1"/>
  <c r="G48" i="2"/>
  <c r="F48" i="2"/>
  <c r="I47" i="2"/>
  <c r="H47" i="2"/>
  <c r="K47" i="2" s="1"/>
  <c r="G47" i="2"/>
  <c r="F47" i="2"/>
  <c r="I46" i="2"/>
  <c r="H46" i="2"/>
  <c r="K46" i="2" s="1"/>
  <c r="G46" i="2"/>
  <c r="F46" i="2"/>
  <c r="I45" i="2"/>
  <c r="H45" i="2"/>
  <c r="K45" i="2" s="1"/>
  <c r="G45" i="2"/>
  <c r="F45" i="2"/>
  <c r="I44" i="2"/>
  <c r="H44" i="2"/>
  <c r="K44" i="2" s="1"/>
  <c r="G44" i="2"/>
  <c r="F44" i="2"/>
  <c r="I43" i="2"/>
  <c r="H43" i="2"/>
  <c r="K43" i="2" s="1"/>
  <c r="G43" i="2"/>
  <c r="F43" i="2"/>
  <c r="I42" i="2"/>
  <c r="H42" i="2"/>
  <c r="K42" i="2" s="1"/>
  <c r="G42" i="2"/>
  <c r="F42" i="2"/>
  <c r="I41" i="2"/>
  <c r="H41" i="2"/>
  <c r="K41" i="2" s="1"/>
  <c r="G41" i="2"/>
  <c r="F41" i="2"/>
  <c r="I40" i="2"/>
  <c r="H40" i="2"/>
  <c r="K40" i="2" s="1"/>
  <c r="G40" i="2"/>
  <c r="F40" i="2"/>
  <c r="D40" i="2"/>
  <c r="I39" i="2"/>
  <c r="H39" i="2"/>
  <c r="K39" i="2" s="1"/>
  <c r="G39" i="2"/>
  <c r="F39" i="2"/>
  <c r="D39" i="2"/>
  <c r="B5" i="2" s="1"/>
  <c r="I38" i="2"/>
  <c r="H38" i="2"/>
  <c r="K38" i="2" s="1"/>
  <c r="G38" i="2"/>
  <c r="F38" i="2"/>
  <c r="D38" i="2"/>
  <c r="I37" i="2"/>
  <c r="H37" i="2"/>
  <c r="K37" i="2" s="1"/>
  <c r="G37" i="2"/>
  <c r="F37" i="2"/>
  <c r="D37" i="2"/>
  <c r="I36" i="2"/>
  <c r="H36" i="2"/>
  <c r="K36" i="2" s="1"/>
  <c r="G36" i="2"/>
  <c r="F36" i="2"/>
  <c r="I35" i="2"/>
  <c r="H35" i="2"/>
  <c r="K35" i="2" s="1"/>
  <c r="G35" i="2"/>
  <c r="F35" i="2"/>
  <c r="I34" i="2"/>
  <c r="H34" i="2"/>
  <c r="K34" i="2" s="1"/>
  <c r="G34" i="2"/>
  <c r="F34" i="2"/>
  <c r="I33" i="2"/>
  <c r="H33" i="2"/>
  <c r="K33" i="2" s="1"/>
  <c r="G33" i="2"/>
  <c r="F33" i="2"/>
  <c r="I32" i="2"/>
  <c r="H32" i="2"/>
  <c r="K32" i="2" s="1"/>
  <c r="G32" i="2"/>
  <c r="F32" i="2"/>
  <c r="I31" i="2"/>
  <c r="H31" i="2"/>
  <c r="K31" i="2" s="1"/>
  <c r="G31" i="2"/>
  <c r="F31" i="2"/>
  <c r="I30" i="2"/>
  <c r="H30" i="2"/>
  <c r="K30" i="2" s="1"/>
  <c r="G30" i="2"/>
  <c r="F30" i="2"/>
  <c r="I29" i="2"/>
  <c r="H29" i="2"/>
  <c r="K29" i="2" s="1"/>
  <c r="G29" i="2"/>
  <c r="F29" i="2"/>
  <c r="I28" i="2"/>
  <c r="H28" i="2"/>
  <c r="K28" i="2" s="1"/>
  <c r="G28" i="2"/>
  <c r="F28" i="2"/>
  <c r="I27" i="2"/>
  <c r="H27" i="2"/>
  <c r="K27" i="2" s="1"/>
  <c r="G27" i="2"/>
  <c r="F27" i="2"/>
  <c r="I26" i="2"/>
  <c r="H26" i="2"/>
  <c r="K26" i="2" s="1"/>
  <c r="G26" i="2"/>
  <c r="F26" i="2"/>
  <c r="I25" i="2"/>
  <c r="H25" i="2"/>
  <c r="K25" i="2" s="1"/>
  <c r="G25" i="2"/>
  <c r="F25" i="2"/>
  <c r="I24" i="2"/>
  <c r="H24" i="2"/>
  <c r="K24" i="2" s="1"/>
  <c r="G24" i="2"/>
  <c r="F24" i="2"/>
  <c r="I23" i="2"/>
  <c r="H23" i="2"/>
  <c r="K23" i="2" s="1"/>
  <c r="G23" i="2"/>
  <c r="F23" i="2"/>
  <c r="I22" i="2"/>
  <c r="H22" i="2"/>
  <c r="K22" i="2" s="1"/>
  <c r="G22" i="2"/>
  <c r="F22" i="2"/>
  <c r="I21" i="2"/>
  <c r="H21" i="2"/>
  <c r="K21" i="2" s="1"/>
  <c r="G21" i="2"/>
  <c r="F21" i="2"/>
  <c r="I20" i="2"/>
  <c r="H20" i="2"/>
  <c r="K20" i="2" s="1"/>
  <c r="G20" i="2"/>
  <c r="F20" i="2"/>
  <c r="I19" i="2"/>
  <c r="H19" i="2"/>
  <c r="K19" i="2" s="1"/>
  <c r="G19" i="2"/>
  <c r="F19" i="2"/>
  <c r="I18" i="2"/>
  <c r="H18" i="2"/>
  <c r="K18" i="2" s="1"/>
  <c r="G18" i="2"/>
  <c r="F18" i="2"/>
  <c r="I17" i="2"/>
  <c r="H17" i="2"/>
  <c r="K17" i="2" s="1"/>
  <c r="G17" i="2"/>
  <c r="F17" i="2"/>
  <c r="I16" i="2"/>
  <c r="H16" i="2"/>
  <c r="K16" i="2" s="1"/>
  <c r="G16" i="2"/>
  <c r="F16" i="2"/>
  <c r="I15" i="2"/>
  <c r="H15" i="2"/>
  <c r="K15" i="2" s="1"/>
  <c r="G15" i="2"/>
  <c r="F15" i="2"/>
  <c r="I14" i="2"/>
  <c r="H14" i="2"/>
  <c r="K14" i="2" s="1"/>
  <c r="G14" i="2"/>
  <c r="F14" i="2"/>
  <c r="D14" i="2"/>
  <c r="D80" i="2" s="1"/>
  <c r="I13" i="2"/>
  <c r="H13" i="2"/>
  <c r="K13" i="2" s="1"/>
  <c r="G13" i="2"/>
  <c r="F13" i="2"/>
  <c r="I12" i="2"/>
  <c r="H12" i="2"/>
  <c r="K12" i="2" s="1"/>
  <c r="G12" i="2"/>
  <c r="F12" i="2"/>
  <c r="H11" i="2"/>
  <c r="K11" i="2" s="1"/>
  <c r="G11" i="2"/>
  <c r="J11" i="2" s="1"/>
  <c r="F11" i="2"/>
  <c r="H10" i="2"/>
  <c r="K10" i="2" s="1"/>
  <c r="G10" i="2"/>
  <c r="J10" i="2" s="1"/>
  <c r="F10" i="2"/>
  <c r="I9" i="2"/>
  <c r="H9" i="2"/>
  <c r="K9" i="2" s="1"/>
  <c r="G9" i="2"/>
  <c r="F9" i="2"/>
  <c r="I8" i="2"/>
  <c r="H8" i="2"/>
  <c r="K8" i="2" s="1"/>
  <c r="G8" i="2"/>
  <c r="F8" i="2"/>
  <c r="P6" i="2"/>
  <c r="B4" i="2"/>
  <c r="K90" i="1"/>
  <c r="J90" i="1"/>
  <c r="F90" i="1"/>
  <c r="K89" i="1"/>
  <c r="J89" i="1"/>
  <c r="F89" i="1"/>
  <c r="K88" i="1"/>
  <c r="J88" i="1"/>
  <c r="F88" i="1"/>
  <c r="K87" i="1"/>
  <c r="J87" i="1"/>
  <c r="F87" i="1"/>
  <c r="K86" i="1"/>
  <c r="J86" i="1"/>
  <c r="F86" i="1"/>
  <c r="K85" i="1"/>
  <c r="J85" i="1"/>
  <c r="F85" i="1"/>
  <c r="K84" i="1"/>
  <c r="J84" i="1"/>
  <c r="F84" i="1"/>
  <c r="K83" i="1"/>
  <c r="J83" i="1"/>
  <c r="F83" i="1"/>
  <c r="K82" i="1"/>
  <c r="J82" i="1"/>
  <c r="F82" i="1"/>
  <c r="K81" i="1"/>
  <c r="J81" i="1"/>
  <c r="F81" i="1"/>
  <c r="K80" i="1"/>
  <c r="J80" i="1"/>
  <c r="F80" i="1"/>
  <c r="K79" i="1"/>
  <c r="J79" i="1"/>
  <c r="F79" i="1"/>
  <c r="K78" i="1"/>
  <c r="J78" i="1"/>
  <c r="F78" i="1"/>
  <c r="K77" i="1"/>
  <c r="J77" i="1"/>
  <c r="F77" i="1"/>
  <c r="K76" i="1"/>
  <c r="J76" i="1"/>
  <c r="F76" i="1"/>
  <c r="K75" i="1"/>
  <c r="J75" i="1"/>
  <c r="F75" i="1"/>
  <c r="K74" i="1"/>
  <c r="J74" i="1"/>
  <c r="F74" i="1"/>
  <c r="K73" i="1"/>
  <c r="J73" i="1"/>
  <c r="F73" i="1"/>
  <c r="K72" i="1"/>
  <c r="J72" i="1"/>
  <c r="F72" i="1"/>
  <c r="K71" i="1"/>
  <c r="J71" i="1"/>
  <c r="F71" i="1"/>
  <c r="K70" i="1"/>
  <c r="J70" i="1"/>
  <c r="F70" i="1"/>
  <c r="K69" i="1"/>
  <c r="J69" i="1"/>
  <c r="F69" i="1"/>
  <c r="K68" i="1"/>
  <c r="J68" i="1"/>
  <c r="F68" i="1"/>
  <c r="K67" i="1"/>
  <c r="J67" i="1"/>
  <c r="F67" i="1"/>
  <c r="K66" i="1"/>
  <c r="J66" i="1"/>
  <c r="F66" i="1"/>
  <c r="K65" i="1"/>
  <c r="J65" i="1"/>
  <c r="F65" i="1"/>
  <c r="K64" i="1"/>
  <c r="J64" i="1"/>
  <c r="F64" i="1"/>
  <c r="K63" i="1"/>
  <c r="J63" i="1"/>
  <c r="F63" i="1"/>
  <c r="K62" i="1"/>
  <c r="J62" i="1"/>
  <c r="F62" i="1"/>
  <c r="K61" i="1"/>
  <c r="J61" i="1"/>
  <c r="F61" i="1"/>
  <c r="K60" i="1"/>
  <c r="J60" i="1"/>
  <c r="F60" i="1"/>
  <c r="K59" i="1"/>
  <c r="J59" i="1"/>
  <c r="F59" i="1"/>
  <c r="K58" i="1"/>
  <c r="J58" i="1"/>
  <c r="F58" i="1"/>
  <c r="K57" i="1"/>
  <c r="J57" i="1"/>
  <c r="F57" i="1"/>
  <c r="K56" i="1"/>
  <c r="J56" i="1"/>
  <c r="F56" i="1"/>
  <c r="K55" i="1"/>
  <c r="J55" i="1"/>
  <c r="F55" i="1"/>
  <c r="K54" i="1"/>
  <c r="J54" i="1"/>
  <c r="F54" i="1"/>
  <c r="K53" i="1"/>
  <c r="J53" i="1"/>
  <c r="F53" i="1"/>
  <c r="K52" i="1"/>
  <c r="J52" i="1"/>
  <c r="F52" i="1"/>
  <c r="K51" i="1"/>
  <c r="J51" i="1"/>
  <c r="F51" i="1"/>
  <c r="K50" i="1"/>
  <c r="J50" i="1"/>
  <c r="F50" i="1"/>
  <c r="K49" i="1"/>
  <c r="J49" i="1"/>
  <c r="F49" i="1"/>
  <c r="K48" i="1"/>
  <c r="J48" i="1"/>
  <c r="F48" i="1"/>
  <c r="K47" i="1"/>
  <c r="J47" i="1"/>
  <c r="F47" i="1"/>
  <c r="K46" i="1"/>
  <c r="J46" i="1"/>
  <c r="F46" i="1"/>
  <c r="K45" i="1"/>
  <c r="J45" i="1"/>
  <c r="F45" i="1"/>
  <c r="K44" i="1"/>
  <c r="J44" i="1"/>
  <c r="F44" i="1"/>
  <c r="K43" i="1"/>
  <c r="J43" i="1"/>
  <c r="F43" i="1"/>
  <c r="K42" i="1"/>
  <c r="J42" i="1"/>
  <c r="F42" i="1"/>
  <c r="K41" i="1"/>
  <c r="J41" i="1"/>
  <c r="F41" i="1"/>
  <c r="K40" i="1"/>
  <c r="J40" i="1"/>
  <c r="F40" i="1"/>
  <c r="K39" i="1"/>
  <c r="J39" i="1"/>
  <c r="F39" i="1"/>
  <c r="K38" i="1"/>
  <c r="J38" i="1"/>
  <c r="F38" i="1"/>
  <c r="D38" i="1"/>
  <c r="K37" i="1"/>
  <c r="J37" i="1"/>
  <c r="F37" i="1"/>
  <c r="D37" i="1"/>
  <c r="K36" i="1"/>
  <c r="J36" i="1"/>
  <c r="F36" i="1"/>
  <c r="K35" i="1"/>
  <c r="J35" i="1"/>
  <c r="F35" i="1"/>
  <c r="K34" i="1"/>
  <c r="J34" i="1"/>
  <c r="F34" i="1"/>
  <c r="K33" i="1"/>
  <c r="J33" i="1"/>
  <c r="F33" i="1"/>
  <c r="K32" i="1"/>
  <c r="J32" i="1"/>
  <c r="F32" i="1"/>
  <c r="K31" i="1"/>
  <c r="J31" i="1"/>
  <c r="F31" i="1"/>
  <c r="K30" i="1"/>
  <c r="J30" i="1"/>
  <c r="F30" i="1"/>
  <c r="K29" i="1"/>
  <c r="J29" i="1"/>
  <c r="F29" i="1"/>
  <c r="K28" i="1"/>
  <c r="J28" i="1"/>
  <c r="F28" i="1"/>
  <c r="K27" i="1"/>
  <c r="J27" i="1"/>
  <c r="F27" i="1"/>
  <c r="K26" i="1"/>
  <c r="J26" i="1"/>
  <c r="F26" i="1"/>
  <c r="K25" i="1"/>
  <c r="J25" i="1"/>
  <c r="F25" i="1"/>
  <c r="K24" i="1"/>
  <c r="J24" i="1"/>
  <c r="F24" i="1"/>
  <c r="K23" i="1"/>
  <c r="J23" i="1"/>
  <c r="F23" i="1"/>
  <c r="K22" i="1"/>
  <c r="J22" i="1"/>
  <c r="F22" i="1"/>
  <c r="K21" i="1"/>
  <c r="J21" i="1"/>
  <c r="F21" i="1"/>
  <c r="K20" i="1"/>
  <c r="J20" i="1"/>
  <c r="F20" i="1"/>
  <c r="K19" i="1"/>
  <c r="J19" i="1"/>
  <c r="F19" i="1"/>
  <c r="K18" i="1"/>
  <c r="J18" i="1"/>
  <c r="F18" i="1"/>
  <c r="K17" i="1"/>
  <c r="J17" i="1"/>
  <c r="F17" i="1"/>
  <c r="K16" i="1"/>
  <c r="J16" i="1"/>
  <c r="F16" i="1"/>
  <c r="K15" i="1"/>
  <c r="J15" i="1"/>
  <c r="F15" i="1"/>
  <c r="K14" i="1"/>
  <c r="J14" i="1"/>
  <c r="F14" i="1"/>
  <c r="D14" i="1"/>
  <c r="D76" i="1" s="1"/>
  <c r="K13" i="1"/>
  <c r="J13" i="1"/>
  <c r="F13" i="1"/>
  <c r="K12" i="1"/>
  <c r="J12" i="1"/>
  <c r="F12" i="1"/>
  <c r="K11" i="1"/>
  <c r="J11" i="1"/>
  <c r="F11" i="1"/>
  <c r="K10" i="1"/>
  <c r="J10" i="1"/>
  <c r="F10" i="1"/>
  <c r="K9" i="1"/>
  <c r="J9" i="1"/>
  <c r="F9" i="1"/>
  <c r="K8" i="1"/>
  <c r="G8" i="1" a="1"/>
  <c r="G8" i="1" s="1"/>
  <c r="J8" i="1" s="1"/>
  <c r="F8" i="1"/>
  <c r="B5" i="1"/>
  <c r="B4" i="1"/>
  <c r="F29" i="6"/>
  <c r="F43" i="5"/>
  <c r="F56" i="5"/>
  <c r="F59" i="7"/>
  <c r="F56" i="7"/>
  <c r="F24" i="6"/>
  <c r="F48" i="6"/>
  <c r="F53" i="7"/>
  <c r="F50" i="7"/>
  <c r="F36" i="6"/>
  <c r="F50" i="5"/>
  <c r="F45" i="6"/>
  <c r="F62" i="5"/>
  <c r="F26" i="7"/>
  <c r="F38" i="6"/>
  <c r="F59" i="6"/>
  <c r="F56" i="6"/>
  <c r="F52" i="7"/>
  <c r="F55" i="5"/>
  <c r="F58" i="7"/>
  <c r="F33" i="7"/>
  <c r="F61" i="7"/>
  <c r="F42" i="7"/>
  <c r="F55" i="7"/>
  <c r="F30" i="7"/>
  <c r="F35" i="7"/>
  <c r="F47" i="7"/>
  <c r="F34" i="7"/>
  <c r="F41" i="6"/>
  <c r="F50" i="6"/>
  <c r="F52" i="6"/>
  <c r="F61" i="5"/>
  <c r="F40" i="6"/>
  <c r="F33" i="6"/>
  <c r="F54" i="5"/>
  <c r="F39" i="6"/>
  <c r="F63" i="5"/>
  <c r="F60" i="6"/>
  <c r="F64" i="5"/>
  <c r="F49" i="7"/>
  <c r="F51" i="6"/>
  <c r="F36" i="7"/>
  <c r="F44" i="7"/>
  <c r="F58" i="6"/>
  <c r="F26" i="6"/>
  <c r="F58" i="5"/>
  <c r="F55" i="6"/>
  <c r="F46" i="7"/>
  <c r="F41" i="7"/>
  <c r="F37" i="7"/>
  <c r="F42" i="6"/>
  <c r="F27" i="7"/>
  <c r="F61" i="6"/>
  <c r="F35" i="6"/>
  <c r="F25" i="7"/>
  <c r="F28" i="6"/>
  <c r="F60" i="5"/>
  <c r="F54" i="6"/>
  <c r="F30" i="6"/>
  <c r="F32" i="7"/>
  <c r="F25" i="6"/>
  <c r="F48" i="7"/>
  <c r="F46" i="6"/>
  <c r="F51" i="7"/>
  <c r="F49" i="6"/>
  <c r="F47" i="6"/>
  <c r="F37" i="6"/>
  <c r="F60" i="7"/>
  <c r="F32" i="6"/>
  <c r="F44" i="6"/>
  <c r="F57" i="7"/>
  <c r="F39" i="7"/>
  <c r="F54" i="7"/>
  <c r="F57" i="6"/>
  <c r="F27" i="6"/>
  <c r="F40" i="7"/>
  <c r="F24" i="7"/>
  <c r="F43" i="7"/>
  <c r="F59" i="5"/>
  <c r="F29" i="7"/>
  <c r="F34" i="6"/>
  <c r="F43" i="6"/>
  <c r="J21" i="2" l="1"/>
  <c r="J35" i="2"/>
  <c r="J41" i="2"/>
  <c r="J38" i="2"/>
  <c r="J48" i="2"/>
  <c r="J12" i="2"/>
  <c r="J39" i="2"/>
  <c r="J8" i="2"/>
  <c r="J46" i="2"/>
  <c r="J52" i="2"/>
  <c r="J15" i="2"/>
  <c r="J22" i="2"/>
  <c r="J29" i="2"/>
  <c r="J36" i="2"/>
  <c r="J32" i="2"/>
  <c r="J33" i="2"/>
  <c r="J26" i="2"/>
  <c r="J47" i="2"/>
  <c r="J40" i="2"/>
  <c r="J54" i="2"/>
  <c r="J16" i="2"/>
  <c r="J23" i="2"/>
  <c r="J30" i="2"/>
  <c r="J50" i="2"/>
  <c r="J44" i="2"/>
  <c r="J51" i="2"/>
  <c r="J28" i="2"/>
  <c r="J24" i="2"/>
  <c r="J18" i="2"/>
  <c r="J45" i="2"/>
  <c r="J9" i="2"/>
  <c r="J13" i="2"/>
  <c r="J55" i="2"/>
  <c r="J53" i="2"/>
  <c r="H25" i="5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J20" i="2"/>
  <c r="J27" i="2"/>
  <c r="J34" i="2"/>
  <c r="J57" i="2"/>
  <c r="J25" i="2"/>
  <c r="J43" i="2"/>
  <c r="J14" i="2"/>
  <c r="J17" i="2"/>
  <c r="J42" i="2"/>
  <c r="J56" i="2"/>
  <c r="J19" i="2"/>
  <c r="J31" i="2"/>
  <c r="J37" i="2"/>
  <c r="J49" i="2"/>
  <c r="H24" i="6"/>
  <c r="H25" i="6" s="1"/>
  <c r="H26" i="6" s="1"/>
  <c r="H27" i="6" s="1"/>
  <c r="H28" i="6" s="1"/>
  <c r="H29" i="6" s="1"/>
  <c r="H30" i="6" s="1"/>
  <c r="H24" i="7"/>
  <c r="H25" i="7" s="1"/>
  <c r="H26" i="7" s="1"/>
  <c r="H27" i="7" s="1"/>
  <c r="H28" i="7" s="1"/>
  <c r="H29" i="7" s="1"/>
  <c r="H30" i="7" s="1"/>
  <c r="K38" i="6"/>
  <c r="L38" i="6"/>
  <c r="K38" i="5"/>
  <c r="L38" i="5" s="1"/>
  <c r="K38" i="7"/>
  <c r="L38" i="7" s="1"/>
  <c r="F53" i="6"/>
  <c r="F31" i="6"/>
  <c r="F38" i="7"/>
  <c r="F45" i="7"/>
  <c r="F62" i="7"/>
  <c r="F31" i="7"/>
  <c r="F57" i="5"/>
  <c r="F51" i="5"/>
  <c r="F52" i="5"/>
  <c r="F62" i="6"/>
  <c r="H51" i="5" l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31" i="7"/>
  <c r="H32" i="7" s="1"/>
  <c r="H33" i="7" s="1"/>
  <c r="H34" i="7" s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45" i="7" s="1"/>
  <c r="H46" i="7" s="1"/>
  <c r="H47" i="7" s="1"/>
  <c r="H48" i="7" s="1"/>
  <c r="H49" i="7" s="1"/>
  <c r="H50" i="7" s="1"/>
  <c r="H51" i="7" s="1"/>
  <c r="H52" i="7" s="1"/>
  <c r="H53" i="7" s="1"/>
  <c r="H54" i="7" s="1"/>
  <c r="H55" i="7" s="1"/>
  <c r="H56" i="7" s="1"/>
  <c r="H57" i="7" s="1"/>
  <c r="H58" i="7" s="1"/>
  <c r="H59" i="7" s="1"/>
  <c r="H60" i="7" s="1"/>
  <c r="H61" i="7" s="1"/>
  <c r="H62" i="7" s="1"/>
  <c r="H31" i="6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<sst xmlns="http://schemas.openxmlformats.org/spreadsheetml/2006/main" count="759" uniqueCount="156">
  <si>
    <t>Season</t>
  </si>
  <si>
    <t>Summer</t>
  </si>
  <si>
    <t>Expenses: 1st to 15th</t>
  </si>
  <si>
    <t>Expenses: 15th to 30th</t>
  </si>
  <si>
    <t>Description</t>
  </si>
  <si>
    <t>Expected Due Date</t>
  </si>
  <si>
    <t>Amount</t>
  </si>
  <si>
    <t>Adjusted Amount</t>
  </si>
  <si>
    <t>Adjusted Due Date</t>
  </si>
  <si>
    <t>CVS Income</t>
  </si>
  <si>
    <t>Apt 2 Rent</t>
  </si>
  <si>
    <t>Apt 3 Rent</t>
  </si>
  <si>
    <t>Uber Income</t>
  </si>
  <si>
    <t>Total Income</t>
  </si>
  <si>
    <t>Credit Cards</t>
  </si>
  <si>
    <t>BOA Customized Rewards</t>
  </si>
  <si>
    <t>BOA Unlimited Rewards</t>
  </si>
  <si>
    <t>CHASE Freedom</t>
  </si>
  <si>
    <t>CHASE Brittany</t>
  </si>
  <si>
    <t>CITI Diamond Preferred</t>
  </si>
  <si>
    <t>CITIZENS Clear Value</t>
  </si>
  <si>
    <t>Loan Payments</t>
  </si>
  <si>
    <t>CITIZENS Mortgage</t>
  </si>
  <si>
    <t>UPSTART Debt Consolidation</t>
  </si>
  <si>
    <t>LIGHTSTREAM Renovation</t>
  </si>
  <si>
    <t>AFFIRM Photography</t>
  </si>
  <si>
    <t>AQUA FINANCE Roofing Replacement</t>
  </si>
  <si>
    <t>CONNEX Auto Loan</t>
  </si>
  <si>
    <t>NELNET Student Loans</t>
  </si>
  <si>
    <t>Propery Expenses</t>
  </si>
  <si>
    <t>Owner Contribution to Mortgage</t>
  </si>
  <si>
    <t>Landlord Electricity</t>
  </si>
  <si>
    <t>Water/Sewer (Monthly)</t>
  </si>
  <si>
    <t>Maintenance (Lawn)</t>
  </si>
  <si>
    <t>Maintenance (Snow Removal)</t>
  </si>
  <si>
    <t>Blink Security</t>
  </si>
  <si>
    <t>Avail Portal</t>
  </si>
  <si>
    <t>Bills</t>
  </si>
  <si>
    <t>Auto Insurance</t>
  </si>
  <si>
    <t>Auto Taxes (Monthly)</t>
  </si>
  <si>
    <t>Heating/Natural Gas</t>
  </si>
  <si>
    <t>Electricity</t>
  </si>
  <si>
    <t>Internet</t>
  </si>
  <si>
    <t>Life Insurance</t>
  </si>
  <si>
    <t>Expenses (Needs)</t>
  </si>
  <si>
    <t>Groceries + Toiletries</t>
  </si>
  <si>
    <t>Phone (Nykosi)</t>
  </si>
  <si>
    <t>Phone (Brittany)</t>
  </si>
  <si>
    <t>Expenses (Wants)</t>
  </si>
  <si>
    <t>Gym Membership (Nykosi)</t>
  </si>
  <si>
    <t>Gym Membership (Brittany)</t>
  </si>
  <si>
    <t>Gym Trainer (Brittany)</t>
  </si>
  <si>
    <t>Bi-Weekly</t>
  </si>
  <si>
    <t>Amazon Prime</t>
  </si>
  <si>
    <t>Drawboard PDF</t>
  </si>
  <si>
    <t>Mailchimp</t>
  </si>
  <si>
    <t>Microsoft 365</t>
  </si>
  <si>
    <t>Netflix</t>
  </si>
  <si>
    <t xml:space="preserve">YNAB </t>
  </si>
  <si>
    <t>OpenAI</t>
  </si>
  <si>
    <t>SAH Stipend (1/2)</t>
  </si>
  <si>
    <t>SAH Stipend (2/2)</t>
  </si>
  <si>
    <t>One-Time Expenses</t>
  </si>
  <si>
    <t>Cash After Expenses</t>
  </si>
  <si>
    <t>Savings</t>
  </si>
  <si>
    <t>Education 529s</t>
  </si>
  <si>
    <t>Emergency Fund</t>
  </si>
  <si>
    <t>New Britain Water Bill</t>
  </si>
  <si>
    <t>New Britain Auto Tax</t>
  </si>
  <si>
    <t>Prism Q1</t>
  </si>
  <si>
    <t xml:space="preserve">Connecticut Children </t>
  </si>
  <si>
    <t>Affirm</t>
  </si>
  <si>
    <t>Home Depot</t>
  </si>
  <si>
    <t>Dividend Cash</t>
  </si>
  <si>
    <t>Sold Qualifying Stock</t>
  </si>
  <si>
    <t>CITIZENS HELOC</t>
  </si>
  <si>
    <t>TD Auto Loan</t>
  </si>
  <si>
    <t>~$3000 Underwater on loan (ie, need to pay this as a downpayment)</t>
  </si>
  <si>
    <t>Date Input?</t>
  </si>
  <si>
    <t>Pull into CASHFLOW</t>
  </si>
  <si>
    <t>Month</t>
  </si>
  <si>
    <t>Year</t>
  </si>
  <si>
    <t>Sheet Name</t>
  </si>
  <si>
    <t>Starting Bank Balance</t>
  </si>
  <si>
    <r>
      <rPr>
        <sz val="11"/>
        <color theme="1"/>
        <rFont val="Arial"/>
      </rPr>
      <t xml:space="preserve">Currently In </t>
    </r>
    <r>
      <rPr>
        <b/>
        <sz val="11"/>
        <color theme="1"/>
        <rFont val="Arial"/>
      </rPr>
      <t xml:space="preserve">MONTHLY RECURRING </t>
    </r>
    <r>
      <rPr>
        <sz val="11"/>
        <color theme="1"/>
        <rFont val="Arial"/>
      </rPr>
      <t>transfers</t>
    </r>
  </si>
  <si>
    <r>
      <rPr>
        <sz val="11"/>
        <color theme="1"/>
        <rFont val="Arial"/>
      </rPr>
      <t xml:space="preserve">Currently In </t>
    </r>
    <r>
      <rPr>
        <b/>
        <sz val="11"/>
        <color theme="1"/>
        <rFont val="Arial"/>
      </rPr>
      <t>OTHER</t>
    </r>
    <r>
      <rPr>
        <sz val="11"/>
        <color theme="1"/>
        <rFont val="Arial"/>
      </rPr>
      <t xml:space="preserve"> transfers</t>
    </r>
  </si>
  <si>
    <t>Paid?</t>
  </si>
  <si>
    <t>Cummulative</t>
  </si>
  <si>
    <t>Debt Payoff Tracker</t>
  </si>
  <si>
    <t>Debt Payment</t>
  </si>
  <si>
    <t>Debt Balance</t>
  </si>
  <si>
    <t>Interest Rate</t>
  </si>
  <si>
    <t>0% APR ends MAR 2026</t>
  </si>
  <si>
    <t>0% APR ends SEP 2026</t>
  </si>
  <si>
    <t>Mom Loan</t>
  </si>
  <si>
    <t>NB Water Bill</t>
  </si>
  <si>
    <t>Wife Fall Clothes</t>
  </si>
  <si>
    <t>Kids Fall Clothes</t>
  </si>
  <si>
    <t>Jeremiah Fall Clothes</t>
  </si>
  <si>
    <r>
      <rPr>
        <sz val="11"/>
        <color theme="1"/>
        <rFont val="Arial"/>
      </rPr>
      <t xml:space="preserve">Currently In </t>
    </r>
    <r>
      <rPr>
        <b/>
        <sz val="11"/>
        <color theme="1"/>
        <rFont val="Arial"/>
      </rPr>
      <t xml:space="preserve">MONTHLY RECURRING </t>
    </r>
    <r>
      <rPr>
        <sz val="11"/>
        <color theme="1"/>
        <rFont val="Arial"/>
      </rPr>
      <t>transfers</t>
    </r>
  </si>
  <si>
    <r>
      <rPr>
        <sz val="11"/>
        <color theme="1"/>
        <rFont val="Arial"/>
      </rPr>
      <t xml:space="preserve">Currently In </t>
    </r>
    <r>
      <rPr>
        <b/>
        <sz val="11"/>
        <color theme="1"/>
        <rFont val="Arial"/>
      </rPr>
      <t>OTHER</t>
    </r>
    <r>
      <rPr>
        <sz val="11"/>
        <color theme="1"/>
        <rFont val="Arial"/>
      </rPr>
      <t xml:space="preserve"> transfers</t>
    </r>
  </si>
  <si>
    <t>Wife Hair</t>
  </si>
  <si>
    <t>Wife Repayment</t>
  </si>
  <si>
    <t>Mom Loan (Repayment)</t>
  </si>
  <si>
    <r>
      <rPr>
        <sz val="11"/>
        <color theme="1"/>
        <rFont val="Arial"/>
      </rPr>
      <t xml:space="preserve">Currently In </t>
    </r>
    <r>
      <rPr>
        <b/>
        <sz val="11"/>
        <color theme="1"/>
        <rFont val="Arial"/>
      </rPr>
      <t xml:space="preserve">MONTHLY RECURRING </t>
    </r>
    <r>
      <rPr>
        <sz val="11"/>
        <color theme="1"/>
        <rFont val="Arial"/>
      </rPr>
      <t>transfers</t>
    </r>
  </si>
  <si>
    <r>
      <rPr>
        <sz val="11"/>
        <color theme="1"/>
        <rFont val="Arial"/>
      </rPr>
      <t xml:space="preserve">Currently In </t>
    </r>
    <r>
      <rPr>
        <b/>
        <sz val="11"/>
        <color theme="1"/>
        <rFont val="Arial"/>
      </rPr>
      <t>OTHER</t>
    </r>
    <r>
      <rPr>
        <sz val="11"/>
        <color theme="1"/>
        <rFont val="Arial"/>
      </rPr>
      <t xml:space="preserve"> transfers</t>
    </r>
  </si>
  <si>
    <t>BUDGET STATUS</t>
  </si>
  <si>
    <t>BUDGET SUMMARY</t>
  </si>
  <si>
    <t>BUDGET VS ACTUAL ALL CATEGORIES</t>
  </si>
  <si>
    <t>WHERE DOES MY MONEY GO?</t>
  </si>
  <si>
    <t>Budget</t>
  </si>
  <si>
    <t>Actual</t>
  </si>
  <si>
    <t>Variance</t>
  </si>
  <si>
    <t>BUDGET</t>
  </si>
  <si>
    <t>ACTUAL</t>
  </si>
  <si>
    <t>INCOME</t>
  </si>
  <si>
    <t>BUDGET PERIOD</t>
  </si>
  <si>
    <t>Start Date -&gt;</t>
  </si>
  <si>
    <t>End Date -&gt;</t>
  </si>
  <si>
    <t>FIXED EXPENSES</t>
  </si>
  <si>
    <t>VARIABLE EXPENSES</t>
  </si>
  <si>
    <t>LOAN REPAYMENTS</t>
  </si>
  <si>
    <t>SAVINGS</t>
  </si>
  <si>
    <t>INVESTMENTS</t>
  </si>
  <si>
    <t>TOTAL BUDGET</t>
  </si>
  <si>
    <t>TOTAL ACTUAL</t>
  </si>
  <si>
    <t>ACTUAL VS BUDGET</t>
  </si>
  <si>
    <t>Total</t>
  </si>
  <si>
    <r>
      <rPr>
        <b/>
        <sz val="11"/>
        <color rgb="FF000000"/>
        <rFont val="Calibri"/>
        <family val="2"/>
      </rPr>
      <t>LEFT TO BUDGET</t>
    </r>
    <r>
      <rPr>
        <sz val="10"/>
        <color rgb="FF000000"/>
        <rFont val="Calibri"/>
        <family val="2"/>
      </rPr>
      <t xml:space="preserve">
</t>
    </r>
    <r>
      <rPr>
        <sz val="8"/>
        <color rgb="FF808080"/>
        <rFont val="Calibri"/>
        <family val="2"/>
      </rPr>
      <t>Total Budget Income</t>
    </r>
    <r>
      <rPr>
        <i/>
        <sz val="8"/>
        <color rgb="FF808080"/>
        <rFont val="Calibri"/>
        <family val="2"/>
      </rPr>
      <t xml:space="preserve"> less </t>
    </r>
    <r>
      <rPr>
        <sz val="8"/>
        <color rgb="FF808080"/>
        <rFont val="Calibri"/>
        <family val="2"/>
      </rPr>
      <t xml:space="preserve">
Total Budget Allocated</t>
    </r>
  </si>
  <si>
    <r>
      <rPr>
        <b/>
        <sz val="11"/>
        <color rgb="FF000000"/>
        <rFont val="Calibri"/>
        <family val="2"/>
      </rPr>
      <t>OUTGOINGS</t>
    </r>
    <r>
      <rPr>
        <b/>
        <sz val="10"/>
        <color rgb="FF000000"/>
        <rFont val="Calibri"/>
        <family val="2"/>
      </rPr>
      <t xml:space="preserve">
</t>
    </r>
    <r>
      <rPr>
        <sz val="8"/>
        <color rgb="FF808080"/>
        <rFont val="Calibri"/>
        <family val="2"/>
      </rPr>
      <t>All Categories ex Income</t>
    </r>
  </si>
  <si>
    <r>
      <rPr>
        <b/>
        <sz val="11"/>
        <color rgb="FF000000"/>
        <rFont val="Calibri"/>
        <family val="2"/>
      </rPr>
      <t>LEFT TO SPEND, SAVE, INVEST</t>
    </r>
    <r>
      <rPr>
        <sz val="10"/>
        <color rgb="FF000000"/>
        <rFont val="Calibri"/>
        <family val="2"/>
      </rPr>
      <t xml:space="preserve">
</t>
    </r>
    <r>
      <rPr>
        <sz val="8"/>
        <color rgb="FF808080"/>
        <rFont val="Calibri"/>
        <family val="2"/>
      </rPr>
      <t xml:space="preserve">Total Actual Income </t>
    </r>
    <r>
      <rPr>
        <i/>
        <sz val="8"/>
        <color rgb="FF808080"/>
        <rFont val="Calibri"/>
        <family val="2"/>
      </rPr>
      <t xml:space="preserve">less </t>
    </r>
    <r>
      <rPr>
        <sz val="8"/>
        <color rgb="FF808080"/>
        <rFont val="Calibri"/>
        <family val="2"/>
      </rPr>
      <t xml:space="preserve">
Total Actual Outgoings</t>
    </r>
  </si>
  <si>
    <r>
      <rPr>
        <b/>
        <sz val="11"/>
        <color rgb="FF000000"/>
        <rFont val="Calibri"/>
        <family val="2"/>
      </rPr>
      <t>NET</t>
    </r>
    <r>
      <rPr>
        <b/>
        <sz val="10"/>
        <color rgb="FF000000"/>
        <rFont val="Calibri"/>
        <family val="2"/>
      </rPr>
      <t xml:space="preserve">
</t>
    </r>
    <r>
      <rPr>
        <sz val="8"/>
        <color rgb="FF808080"/>
        <rFont val="Calibri"/>
        <family val="2"/>
      </rPr>
      <t>Income</t>
    </r>
    <r>
      <rPr>
        <i/>
        <sz val="8"/>
        <color rgb="FF808080"/>
        <rFont val="Calibri"/>
        <family val="2"/>
      </rPr>
      <t xml:space="preserve"> less</t>
    </r>
    <r>
      <rPr>
        <sz val="8"/>
        <color rgb="FF808080"/>
        <rFont val="Calibri"/>
        <family val="2"/>
      </rPr>
      <t xml:space="preserve"> Outgoings</t>
    </r>
  </si>
  <si>
    <r>
      <rPr>
        <b/>
        <sz val="11"/>
        <color rgb="FF000000"/>
        <rFont val="Calibri"/>
        <family val="2"/>
      </rPr>
      <t>% INCOME SAVED</t>
    </r>
    <r>
      <rPr>
        <b/>
        <sz val="10"/>
        <color rgb="FF000000"/>
        <rFont val="Calibri"/>
        <family val="2"/>
      </rPr>
      <t xml:space="preserve">
</t>
    </r>
    <r>
      <rPr>
        <sz val="8"/>
        <color rgb="FF808080"/>
        <rFont val="Calibri"/>
        <family val="2"/>
      </rPr>
      <t>Total Savings / Total Income</t>
    </r>
  </si>
  <si>
    <t>PROPERY EXPENSES</t>
  </si>
  <si>
    <t>BUDGET VS ACTUAL CASHFLOW</t>
  </si>
  <si>
    <t>Date</t>
  </si>
  <si>
    <t>Category</t>
  </si>
  <si>
    <t>Due Date</t>
  </si>
  <si>
    <t>Include?</t>
  </si>
  <si>
    <t>Hide</t>
  </si>
  <si>
    <t>Transactions</t>
  </si>
  <si>
    <t>Merchant</t>
  </si>
  <si>
    <t>Starting Balance:</t>
  </si>
  <si>
    <t>Spreadsheet Setup</t>
  </si>
  <si>
    <t>Categories</t>
  </si>
  <si>
    <t>Descriptions</t>
  </si>
  <si>
    <t>Income</t>
  </si>
  <si>
    <t>Property Expenses</t>
  </si>
  <si>
    <t>Fixed Expenses</t>
  </si>
  <si>
    <t>Variable Expenses</t>
  </si>
  <si>
    <t>Credit Card Payments</t>
  </si>
  <si>
    <t>Investments</t>
  </si>
  <si>
    <t>Uber Driver</t>
  </si>
  <si>
    <t>Mortgage</t>
  </si>
  <si>
    <t>XXX Heating Systems</t>
  </si>
  <si>
    <t>Category &amp; Description Dropdowns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</si>
</sst>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$&quot;#,##0.00"/>
    <numFmt numFmtId="165" formatCode="&quot;$&quot;#,##0"/>
    <numFmt numFmtId="166" formatCode="&quot;$&quot;#,##0;[Red]\-&quot;$&quot;#,##0"/>
    <numFmt numFmtId="167" formatCode="0.0%"/>
  </numFmts>
  <fonts count="45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b/>
      <sz val="11"/>
      <color theme="1"/>
      <name val="Aptos Narrow"/>
    </font>
    <font>
      <b/>
      <sz val="11"/>
      <color rgb="FFFF0000"/>
      <name val="Aptos Narrow"/>
    </font>
    <font>
      <b/>
      <sz val="16"/>
      <color theme="1"/>
      <name val="Aptos Narrow"/>
    </font>
    <font>
      <sz val="11"/>
      <color theme="1"/>
      <name val="Aptos Narrow"/>
      <scheme val="minor"/>
    </font>
    <font>
      <b/>
      <sz val="18"/>
      <color theme="9"/>
      <name val="Aptos Narrow"/>
    </font>
    <font>
      <b/>
      <sz val="14"/>
      <color theme="1"/>
      <name val="Aptos Narrow"/>
    </font>
    <font>
      <sz val="11"/>
      <name val="Aptos Narrow"/>
    </font>
    <font>
      <b/>
      <sz val="18"/>
      <color theme="5"/>
      <name val="Aptos Narrow"/>
    </font>
    <font>
      <sz val="11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b/>
      <sz val="11"/>
      <color rgb="FFFFFFFF"/>
      <name val="Arial"/>
    </font>
    <font>
      <b/>
      <sz val="11"/>
      <color theme="1"/>
      <name val="Aptos Narrow"/>
      <scheme val="minor"/>
    </font>
    <font>
      <sz val="12"/>
      <color rgb="FF000000"/>
      <name val="Arial"/>
    </font>
    <font>
      <b/>
      <sz val="11"/>
      <color rgb="FFFF0000"/>
      <name val="Arial"/>
    </font>
    <font>
      <b/>
      <sz val="11"/>
      <color rgb="FFFF0000"/>
      <name val="Arial"/>
    </font>
    <font>
      <b/>
      <sz val="11"/>
      <color theme="9"/>
      <name val="Arial"/>
    </font>
    <font>
      <sz val="10"/>
      <color rgb="FF000000"/>
      <name val="Calibri"/>
      <family val="2"/>
    </font>
    <font>
      <b/>
      <sz val="22"/>
      <color rgb="FF000000"/>
      <name val="Calibri"/>
      <family val="2"/>
    </font>
    <font>
      <b/>
      <sz val="11"/>
      <color rgb="FF000000"/>
      <name val="Calibri"/>
      <family val="2"/>
    </font>
    <font>
      <sz val="8"/>
      <color rgb="FF808080"/>
      <name val="Calibri"/>
      <family val="2"/>
    </font>
    <font>
      <i/>
      <sz val="8"/>
      <color rgb="FF808080"/>
      <name val="Calibri"/>
      <family val="2"/>
    </font>
    <font>
      <b/>
      <sz val="10"/>
      <color rgb="FF000000"/>
      <name val="Calibri"/>
      <family val="2"/>
    </font>
    <font>
      <b/>
      <sz val="11"/>
      <color rgb="FF595959"/>
      <name val="Calibri"/>
      <family val="2"/>
    </font>
    <font>
      <sz val="11"/>
      <color theme="1"/>
      <name val="Calibri"/>
      <family val="2"/>
    </font>
    <font>
      <sz val="10"/>
      <color rgb="FF404040"/>
      <name val="Calibri"/>
      <family val="2"/>
    </font>
    <font>
      <b/>
      <sz val="18"/>
      <color rgb="FF000000"/>
      <name val="Calibri"/>
      <family val="2"/>
    </font>
    <font>
      <sz val="9"/>
      <color rgb="FF000000"/>
      <name val="Calibri"/>
      <family val="2"/>
    </font>
    <font>
      <b/>
      <sz val="16"/>
      <color rgb="FF000000"/>
      <name val="Calibri"/>
      <family val="2"/>
    </font>
    <font>
      <sz val="8"/>
      <color rgb="FF404040"/>
      <name val="Calibri"/>
      <family val="2"/>
    </font>
    <font>
      <b/>
      <sz val="9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FFFF"/>
      <name val="Quattrocento Sans"/>
    </font>
    <font>
      <b/>
      <sz val="16"/>
      <color rgb="FFFFFFFF"/>
      <name val="Quattrocento Sans"/>
    </font>
    <font>
      <b/>
      <sz val="9"/>
      <color rgb="FFFFFFFF"/>
      <name val="Quattrocento Sans"/>
    </font>
    <font>
      <b/>
      <sz val="9"/>
      <color theme="1"/>
      <name val="Quattrocento Sans"/>
    </font>
    <font>
      <sz val="9"/>
      <color theme="1"/>
      <name val="Quattrocento Sans"/>
    </font>
    <font>
      <b/>
      <sz val="10"/>
      <color theme="1"/>
      <name val="Quattrocento Sans"/>
      <family val="2"/>
    </font>
    <font>
      <sz val="10"/>
      <color rgb="FF000000"/>
      <name val="Aptos Narrow"/>
      <family val="2"/>
      <scheme val="minor"/>
    </font>
    <font>
      <sz val="9"/>
      <color theme="1"/>
      <name val="Quattrocento Sans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rgb="FFDBE9F7"/>
        <bgColor rgb="FFDBE9F7"/>
      </patternFill>
    </fill>
    <fill>
      <patternFill patternType="solid">
        <fgColor theme="4"/>
        <bgColor theme="4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9F9F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DF6FF"/>
        <bgColor rgb="FF000000"/>
      </patternFill>
    </fill>
    <fill>
      <patternFill patternType="solid">
        <fgColor rgb="FFC5D9FF"/>
        <bgColor rgb="FF000000"/>
      </patternFill>
    </fill>
    <fill>
      <patternFill patternType="solid">
        <fgColor rgb="FFFACCEA"/>
        <bgColor rgb="FF000000"/>
      </patternFill>
    </fill>
    <fill>
      <patternFill patternType="solid">
        <fgColor rgb="FFC5EBF1"/>
        <bgColor rgb="FF000000"/>
      </patternFill>
    </fill>
    <fill>
      <patternFill patternType="solid">
        <fgColor rgb="FFFACCDD"/>
        <bgColor rgb="FF000000"/>
      </patternFill>
    </fill>
    <fill>
      <patternFill patternType="solid">
        <fgColor rgb="FFD9EAD3"/>
        <bgColor rgb="FF000000"/>
      </patternFill>
    </fill>
    <fill>
      <patternFill patternType="solid">
        <fgColor rgb="FFEAF1FF"/>
        <bgColor rgb="FF000000"/>
      </patternFill>
    </fill>
    <fill>
      <patternFill patternType="solid">
        <fgColor rgb="FFFFF5FC"/>
        <bgColor rgb="FF000000"/>
      </patternFill>
    </fill>
    <fill>
      <patternFill patternType="solid">
        <fgColor rgb="FFF3FDFF"/>
        <bgColor rgb="FF000000"/>
      </patternFill>
    </fill>
    <fill>
      <patternFill patternType="solid">
        <fgColor rgb="FFFFF1F6"/>
        <bgColor rgb="FF000000"/>
      </patternFill>
    </fill>
    <fill>
      <patternFill patternType="solid">
        <fgColor rgb="FFECF5E8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C9E5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134F5C"/>
        <bgColor rgb="FF134F5C"/>
      </patternFill>
    </fill>
    <fill>
      <patternFill patternType="solid">
        <fgColor rgb="FFEFEFEF"/>
        <bgColor rgb="FFEFEFE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  <border>
      <left/>
      <right/>
      <top style="thin">
        <color rgb="FFF2F2F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/>
      <bottom/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17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3" borderId="1" xfId="0" applyNumberFormat="1" applyFont="1" applyFill="1" applyBorder="1"/>
    <xf numFmtId="0" fontId="3" fillId="0" borderId="1" xfId="0" applyFont="1" applyBorder="1" applyAlignment="1">
      <alignment horizontal="right" vertical="center"/>
    </xf>
    <xf numFmtId="0" fontId="5" fillId="4" borderId="3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6" fillId="0" borderId="0" xfId="0" applyFont="1"/>
    <xf numFmtId="14" fontId="2" fillId="0" borderId="0" xfId="0" applyNumberFormat="1" applyFont="1"/>
    <xf numFmtId="164" fontId="2" fillId="5" borderId="3" xfId="0" applyNumberFormat="1" applyFont="1" applyFill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/>
    </xf>
    <xf numFmtId="0" fontId="7" fillId="0" borderId="0" xfId="0" applyFont="1"/>
    <xf numFmtId="0" fontId="7" fillId="0" borderId="5" xfId="0" applyFont="1" applyBorder="1"/>
    <xf numFmtId="0" fontId="7" fillId="0" borderId="6" xfId="0" applyFont="1" applyBorder="1" applyAlignment="1">
      <alignment horizontal="center" vertical="center"/>
    </xf>
    <xf numFmtId="164" fontId="7" fillId="2" borderId="7" xfId="0" applyNumberFormat="1" applyFont="1" applyFill="1" applyBorder="1" applyAlignment="1">
      <alignment horizontal="center"/>
    </xf>
    <xf numFmtId="0" fontId="2" fillId="0" borderId="0" xfId="0" applyFont="1"/>
    <xf numFmtId="0" fontId="10" fillId="0" borderId="5" xfId="0" applyFont="1" applyBorder="1"/>
    <xf numFmtId="0" fontId="10" fillId="0" borderId="6" xfId="0" applyFont="1" applyBorder="1" applyAlignment="1">
      <alignment horizontal="center" vertical="center"/>
    </xf>
    <xf numFmtId="164" fontId="10" fillId="2" borderId="7" xfId="0" applyNumberFormat="1" applyFont="1" applyFill="1" applyBorder="1" applyAlignment="1">
      <alignment horizontal="center"/>
    </xf>
    <xf numFmtId="0" fontId="11" fillId="0" borderId="0" xfId="0" applyFont="1"/>
    <xf numFmtId="164" fontId="6" fillId="0" borderId="0" xfId="0" applyNumberFormat="1" applyFont="1"/>
    <xf numFmtId="0" fontId="11" fillId="6" borderId="0" xfId="0" applyFont="1" applyFill="1"/>
    <xf numFmtId="0" fontId="12" fillId="6" borderId="0" xfId="0" applyFont="1" applyFill="1"/>
    <xf numFmtId="0" fontId="12" fillId="6" borderId="0" xfId="0" applyFont="1" applyFill="1" applyAlignment="1">
      <alignment horizontal="right"/>
    </xf>
    <xf numFmtId="164" fontId="12" fillId="0" borderId="0" xfId="0" applyNumberFormat="1" applyFont="1" applyAlignment="1">
      <alignment horizontal="center"/>
    </xf>
    <xf numFmtId="164" fontId="12" fillId="5" borderId="3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6" fillId="7" borderId="0" xfId="0" applyFont="1" applyFill="1"/>
    <xf numFmtId="0" fontId="12" fillId="7" borderId="0" xfId="0" applyFont="1" applyFill="1" applyAlignment="1">
      <alignment horizontal="center" vertical="center"/>
    </xf>
    <xf numFmtId="164" fontId="12" fillId="7" borderId="0" xfId="0" applyNumberFormat="1" applyFont="1" applyFill="1" applyAlignment="1">
      <alignment horizont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12" fillId="0" borderId="3" xfId="0" applyNumberFormat="1" applyFont="1" applyBorder="1" applyAlignment="1">
      <alignment horizontal="center"/>
    </xf>
    <xf numFmtId="0" fontId="6" fillId="8" borderId="0" xfId="0" applyFont="1" applyFill="1"/>
    <xf numFmtId="0" fontId="12" fillId="8" borderId="0" xfId="0" applyFont="1" applyFill="1" applyAlignment="1">
      <alignment horizontal="center" vertical="center"/>
    </xf>
    <xf numFmtId="164" fontId="2" fillId="8" borderId="0" xfId="0" applyNumberFormat="1" applyFont="1" applyFill="1" applyAlignment="1">
      <alignment horizontal="center"/>
    </xf>
    <xf numFmtId="0" fontId="11" fillId="8" borderId="0" xfId="0" applyFont="1" applyFill="1"/>
    <xf numFmtId="0" fontId="2" fillId="8" borderId="0" xfId="0" applyFont="1" applyFill="1" applyAlignment="1">
      <alignment horizontal="center" vertical="center"/>
    </xf>
    <xf numFmtId="164" fontId="12" fillId="8" borderId="0" xfId="0" applyNumberFormat="1" applyFont="1" applyFill="1" applyAlignment="1">
      <alignment horizontal="center"/>
    </xf>
    <xf numFmtId="0" fontId="2" fillId="8" borderId="4" xfId="0" applyFont="1" applyFill="1" applyBorder="1"/>
    <xf numFmtId="0" fontId="2" fillId="8" borderId="4" xfId="0" applyFont="1" applyFill="1" applyBorder="1" applyAlignment="1">
      <alignment horizontal="center" vertical="center"/>
    </xf>
    <xf numFmtId="164" fontId="2" fillId="8" borderId="4" xfId="0" applyNumberFormat="1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164" fontId="12" fillId="2" borderId="9" xfId="0" applyNumberFormat="1" applyFont="1" applyFill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164" fontId="6" fillId="7" borderId="0" xfId="0" applyNumberFormat="1" applyFont="1" applyFill="1" applyAlignment="1">
      <alignment horizontal="center"/>
    </xf>
    <xf numFmtId="0" fontId="11" fillId="0" borderId="0" xfId="0" applyFont="1" applyAlignment="1">
      <alignment horizontal="left"/>
    </xf>
    <xf numFmtId="0" fontId="11" fillId="8" borderId="0" xfId="0" applyFont="1" applyFill="1" applyAlignment="1">
      <alignment horizontal="center"/>
    </xf>
    <xf numFmtId="164" fontId="11" fillId="8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6" fillId="2" borderId="0" xfId="0" applyNumberFormat="1" applyFont="1" applyFill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13" fillId="0" borderId="0" xfId="0" applyFont="1" applyAlignment="1">
      <alignment horizontal="center"/>
    </xf>
    <xf numFmtId="164" fontId="11" fillId="0" borderId="0" xfId="0" applyNumberFormat="1" applyFont="1"/>
    <xf numFmtId="164" fontId="2" fillId="0" borderId="0" xfId="0" applyNumberFormat="1" applyFont="1"/>
    <xf numFmtId="0" fontId="11" fillId="10" borderId="0" xfId="0" applyFont="1" applyFill="1" applyAlignment="1">
      <alignment horizontal="center"/>
    </xf>
    <xf numFmtId="164" fontId="15" fillId="0" borderId="0" xfId="0" applyNumberFormat="1" applyFont="1"/>
    <xf numFmtId="0" fontId="13" fillId="0" borderId="0" xfId="0" applyFont="1"/>
    <xf numFmtId="0" fontId="13" fillId="11" borderId="0" xfId="0" applyFont="1" applyFill="1" applyAlignment="1">
      <alignment horizontal="center"/>
    </xf>
    <xf numFmtId="164" fontId="13" fillId="11" borderId="0" xfId="0" applyNumberFormat="1" applyFont="1" applyFill="1" applyAlignment="1">
      <alignment horizontal="center"/>
    </xf>
    <xf numFmtId="10" fontId="13" fillId="11" borderId="0" xfId="0" applyNumberFormat="1" applyFont="1" applyFill="1" applyAlignment="1">
      <alignment horizontal="center"/>
    </xf>
    <xf numFmtId="10" fontId="11" fillId="0" borderId="0" xfId="0" applyNumberFormat="1" applyFont="1"/>
    <xf numFmtId="0" fontId="15" fillId="0" borderId="0" xfId="0" applyFont="1"/>
    <xf numFmtId="165" fontId="11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6" fillId="8" borderId="0" xfId="0" applyFont="1" applyFill="1" applyAlignment="1">
      <alignment horizontal="left"/>
    </xf>
    <xf numFmtId="164" fontId="12" fillId="0" borderId="0" xfId="0" applyNumberFormat="1" applyFont="1" applyAlignment="1">
      <alignment horizontal="right"/>
    </xf>
    <xf numFmtId="10" fontId="12" fillId="0" borderId="0" xfId="0" applyNumberFormat="1" applyFont="1" applyAlignment="1">
      <alignment horizontal="right"/>
    </xf>
    <xf numFmtId="10" fontId="6" fillId="0" borderId="0" xfId="0" applyNumberFormat="1" applyFont="1"/>
    <xf numFmtId="165" fontId="12" fillId="0" borderId="0" xfId="0" applyNumberFormat="1" applyFont="1" applyAlignment="1">
      <alignment horizontal="center"/>
    </xf>
    <xf numFmtId="0" fontId="15" fillId="11" borderId="0" xfId="0" applyFont="1" applyFill="1" applyAlignment="1">
      <alignment horizontal="center"/>
    </xf>
    <xf numFmtId="0" fontId="12" fillId="0" borderId="0" xfId="0" applyFont="1"/>
    <xf numFmtId="164" fontId="12" fillId="0" borderId="0" xfId="0" applyNumberFormat="1" applyFont="1"/>
    <xf numFmtId="10" fontId="6" fillId="0" borderId="0" xfId="0" applyNumberFormat="1" applyFont="1" applyAlignment="1">
      <alignment horizontal="center"/>
    </xf>
    <xf numFmtId="0" fontId="17" fillId="0" borderId="0" xfId="0" applyFont="1"/>
    <xf numFmtId="10" fontId="11" fillId="8" borderId="0" xfId="0" applyNumberFormat="1" applyFont="1" applyFill="1" applyAlignment="1">
      <alignment horizontal="center"/>
    </xf>
    <xf numFmtId="0" fontId="18" fillId="0" borderId="0" xfId="0" applyFont="1"/>
    <xf numFmtId="2" fontId="2" fillId="0" borderId="0" xfId="0" applyNumberFormat="1" applyFont="1"/>
    <xf numFmtId="0" fontId="6" fillId="2" borderId="0" xfId="0" applyFont="1" applyFill="1"/>
    <xf numFmtId="164" fontId="11" fillId="2" borderId="0" xfId="0" applyNumberFormat="1" applyFont="1" applyFill="1"/>
    <xf numFmtId="0" fontId="11" fillId="2" borderId="0" xfId="0" applyFont="1" applyFill="1"/>
    <xf numFmtId="164" fontId="6" fillId="2" borderId="0" xfId="0" applyNumberFormat="1" applyFont="1" applyFill="1"/>
    <xf numFmtId="0" fontId="2" fillId="2" borderId="0" xfId="0" applyFont="1" applyFill="1"/>
    <xf numFmtId="0" fontId="12" fillId="2" borderId="0" xfId="0" applyFont="1" applyFill="1"/>
    <xf numFmtId="164" fontId="2" fillId="2" borderId="0" xfId="0" applyNumberFormat="1" applyFont="1" applyFill="1"/>
    <xf numFmtId="0" fontId="11" fillId="7" borderId="0" xfId="0" applyFont="1" applyFill="1"/>
    <xf numFmtId="164" fontId="6" fillId="7" borderId="0" xfId="0" applyNumberFormat="1" applyFont="1" applyFill="1"/>
    <xf numFmtId="0" fontId="19" fillId="0" borderId="0" xfId="0" applyFont="1"/>
    <xf numFmtId="164" fontId="19" fillId="0" borderId="0" xfId="0" applyNumberFormat="1" applyFont="1"/>
    <xf numFmtId="164" fontId="11" fillId="7" borderId="0" xfId="0" applyNumberFormat="1" applyFont="1" applyFill="1"/>
    <xf numFmtId="0" fontId="2" fillId="7" borderId="0" xfId="0" applyFont="1" applyFill="1"/>
    <xf numFmtId="164" fontId="12" fillId="7" borderId="0" xfId="0" applyNumberFormat="1" applyFont="1" applyFill="1"/>
    <xf numFmtId="164" fontId="17" fillId="0" borderId="0" xfId="0" applyNumberFormat="1" applyFont="1"/>
    <xf numFmtId="0" fontId="8" fillId="0" borderId="8" xfId="0" applyFont="1" applyBorder="1" applyAlignment="1">
      <alignment horizontal="center"/>
    </xf>
    <xf numFmtId="0" fontId="9" fillId="0" borderId="8" xfId="0" applyFont="1" applyBorder="1"/>
    <xf numFmtId="0" fontId="8" fillId="8" borderId="8" xfId="0" applyFont="1" applyFill="1" applyBorder="1" applyAlignment="1">
      <alignment horizontal="center"/>
    </xf>
    <xf numFmtId="0" fontId="14" fillId="9" borderId="0" xfId="0" applyFont="1" applyFill="1" applyAlignment="1">
      <alignment horizontal="center"/>
    </xf>
    <xf numFmtId="0" fontId="0" fillId="0" borderId="0" xfId="0"/>
    <xf numFmtId="0" fontId="20" fillId="12" borderId="3" xfId="0" applyFont="1" applyFill="1" applyBorder="1" applyAlignment="1">
      <alignment vertical="center"/>
    </xf>
    <xf numFmtId="0" fontId="21" fillId="13" borderId="3" xfId="0" applyFont="1" applyFill="1" applyBorder="1" applyAlignment="1">
      <alignment horizontal="center" vertical="center"/>
    </xf>
    <xf numFmtId="0" fontId="22" fillId="13" borderId="3" xfId="0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 wrapText="1"/>
    </xf>
    <xf numFmtId="0" fontId="20" fillId="13" borderId="3" xfId="0" applyFont="1" applyFill="1" applyBorder="1" applyAlignment="1">
      <alignment horizontal="center" vertical="center"/>
    </xf>
    <xf numFmtId="166" fontId="22" fillId="13" borderId="3" xfId="0" applyNumberFormat="1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vertical="center" wrapText="1"/>
    </xf>
    <xf numFmtId="0" fontId="25" fillId="13" borderId="3" xfId="0" applyFont="1" applyFill="1" applyBorder="1" applyAlignment="1">
      <alignment horizontal="center" vertical="center" wrapText="1"/>
    </xf>
    <xf numFmtId="0" fontId="26" fillId="13" borderId="3" xfId="0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vertical="center"/>
    </xf>
    <xf numFmtId="0" fontId="22" fillId="13" borderId="3" xfId="0" applyFont="1" applyFill="1" applyBorder="1" applyAlignment="1">
      <alignment horizontal="center" vertical="center" wrapText="1"/>
    </xf>
    <xf numFmtId="3" fontId="27" fillId="13" borderId="3" xfId="0" applyNumberFormat="1" applyFont="1" applyFill="1" applyBorder="1" applyAlignment="1">
      <alignment horizontal="center" vertical="center" wrapText="1"/>
    </xf>
    <xf numFmtId="0" fontId="27" fillId="13" borderId="3" xfId="0" applyFont="1" applyFill="1" applyBorder="1" applyAlignment="1">
      <alignment horizontal="center" vertical="center" wrapText="1"/>
    </xf>
    <xf numFmtId="0" fontId="25" fillId="13" borderId="3" xfId="0" applyFont="1" applyFill="1" applyBorder="1" applyAlignment="1">
      <alignment horizontal="center" vertical="center" wrapText="1"/>
    </xf>
    <xf numFmtId="0" fontId="25" fillId="13" borderId="3" xfId="0" applyFont="1" applyFill="1" applyBorder="1" applyAlignment="1">
      <alignment horizontal="right" vertical="center"/>
    </xf>
    <xf numFmtId="14" fontId="20" fillId="13" borderId="3" xfId="0" applyNumberFormat="1" applyFont="1" applyFill="1" applyBorder="1" applyAlignment="1">
      <alignment horizontal="center" vertical="center"/>
    </xf>
    <xf numFmtId="0" fontId="25" fillId="14" borderId="3" xfId="0" applyFont="1" applyFill="1" applyBorder="1" applyAlignment="1">
      <alignment horizontal="center" vertical="center" wrapText="1"/>
    </xf>
    <xf numFmtId="166" fontId="22" fillId="14" borderId="3" xfId="0" applyNumberFormat="1" applyFont="1" applyFill="1" applyBorder="1" applyAlignment="1">
      <alignment horizontal="center" vertical="center" wrapText="1"/>
    </xf>
    <xf numFmtId="0" fontId="28" fillId="13" borderId="3" xfId="0" applyFont="1" applyFill="1" applyBorder="1" applyAlignment="1">
      <alignment horizontal="center" vertical="center"/>
    </xf>
    <xf numFmtId="167" fontId="27" fillId="13" borderId="3" xfId="0" applyNumberFormat="1" applyFont="1" applyFill="1" applyBorder="1" applyAlignment="1">
      <alignment horizontal="center" vertical="center" wrapText="1"/>
    </xf>
    <xf numFmtId="0" fontId="27" fillId="12" borderId="3" xfId="0" applyFont="1" applyFill="1" applyBorder="1" applyAlignment="1">
      <alignment vertical="center"/>
    </xf>
    <xf numFmtId="0" fontId="22" fillId="15" borderId="3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center" vertical="center"/>
    </xf>
    <xf numFmtId="0" fontId="22" fillId="17" borderId="3" xfId="0" applyFont="1" applyFill="1" applyBorder="1" applyAlignment="1">
      <alignment horizontal="center" vertical="center"/>
    </xf>
    <xf numFmtId="0" fontId="22" fillId="18" borderId="3" xfId="0" applyFont="1" applyFill="1" applyBorder="1" applyAlignment="1">
      <alignment horizontal="center" vertical="center"/>
    </xf>
    <xf numFmtId="0" fontId="22" fillId="19" borderId="3" xfId="0" applyFont="1" applyFill="1" applyBorder="1" applyAlignment="1">
      <alignment horizontal="center" vertical="center"/>
    </xf>
    <xf numFmtId="3" fontId="29" fillId="13" borderId="3" xfId="1" applyNumberFormat="1" applyFont="1" applyFill="1" applyBorder="1" applyAlignment="1">
      <alignment horizontal="center"/>
    </xf>
    <xf numFmtId="0" fontId="30" fillId="13" borderId="3" xfId="0" applyFont="1" applyFill="1" applyBorder="1" applyAlignment="1">
      <alignment horizontal="center" vertical="center"/>
    </xf>
    <xf numFmtId="9" fontId="31" fillId="13" borderId="3" xfId="2" applyFont="1" applyFill="1" applyBorder="1" applyAlignment="1">
      <alignment horizontal="center" vertical="center"/>
    </xf>
    <xf numFmtId="0" fontId="32" fillId="13" borderId="3" xfId="0" applyFont="1" applyFill="1" applyBorder="1" applyAlignment="1">
      <alignment horizontal="center" vertical="top"/>
    </xf>
    <xf numFmtId="0" fontId="32" fillId="13" borderId="3" xfId="0" applyFont="1" applyFill="1" applyBorder="1" applyAlignment="1">
      <alignment horizontal="center" vertical="top"/>
    </xf>
    <xf numFmtId="0" fontId="25" fillId="15" borderId="3" xfId="0" applyFont="1" applyFill="1" applyBorder="1" applyAlignment="1">
      <alignment horizontal="center" vertical="center" wrapText="1"/>
    </xf>
    <xf numFmtId="0" fontId="25" fillId="16" borderId="3" xfId="0" applyFont="1" applyFill="1" applyBorder="1" applyAlignment="1">
      <alignment horizontal="center" vertical="center" wrapText="1"/>
    </xf>
    <xf numFmtId="0" fontId="25" fillId="17" borderId="3" xfId="0" applyFont="1" applyFill="1" applyBorder="1" applyAlignment="1">
      <alignment horizontal="center" vertical="center" wrapText="1"/>
    </xf>
    <xf numFmtId="0" fontId="25" fillId="18" borderId="3" xfId="0" applyFont="1" applyFill="1" applyBorder="1" applyAlignment="1">
      <alignment horizontal="center" vertical="center" wrapText="1"/>
    </xf>
    <xf numFmtId="0" fontId="25" fillId="19" borderId="3" xfId="0" applyFont="1" applyFill="1" applyBorder="1" applyAlignment="1">
      <alignment horizontal="center" vertical="center" wrapText="1"/>
    </xf>
    <xf numFmtId="0" fontId="30" fillId="13" borderId="10" xfId="0" applyFont="1" applyFill="1" applyBorder="1" applyAlignment="1">
      <alignment vertical="center"/>
    </xf>
    <xf numFmtId="4" fontId="30" fillId="13" borderId="10" xfId="0" applyNumberFormat="1" applyFont="1" applyFill="1" applyBorder="1" applyAlignment="1">
      <alignment vertical="center"/>
    </xf>
    <xf numFmtId="4" fontId="30" fillId="20" borderId="10" xfId="0" applyNumberFormat="1" applyFont="1" applyFill="1" applyBorder="1" applyAlignment="1">
      <alignment vertical="center"/>
    </xf>
    <xf numFmtId="4" fontId="30" fillId="21" borderId="10" xfId="0" applyNumberFormat="1" applyFont="1" applyFill="1" applyBorder="1" applyAlignment="1">
      <alignment vertical="center"/>
    </xf>
    <xf numFmtId="4" fontId="30" fillId="22" borderId="10" xfId="0" applyNumberFormat="1" applyFont="1" applyFill="1" applyBorder="1" applyAlignment="1">
      <alignment vertical="center"/>
    </xf>
    <xf numFmtId="4" fontId="30" fillId="23" borderId="10" xfId="0" applyNumberFormat="1" applyFont="1" applyFill="1" applyBorder="1" applyAlignment="1">
      <alignment vertical="center"/>
    </xf>
    <xf numFmtId="4" fontId="30" fillId="24" borderId="10" xfId="0" applyNumberFormat="1" applyFont="1" applyFill="1" applyBorder="1" applyAlignment="1">
      <alignment vertical="center"/>
    </xf>
    <xf numFmtId="0" fontId="30" fillId="13" borderId="11" xfId="0" applyFont="1" applyFill="1" applyBorder="1" applyAlignment="1">
      <alignment vertical="center"/>
    </xf>
    <xf numFmtId="4" fontId="30" fillId="13" borderId="11" xfId="0" applyNumberFormat="1" applyFont="1" applyFill="1" applyBorder="1" applyAlignment="1">
      <alignment vertical="center"/>
    </xf>
    <xf numFmtId="4" fontId="30" fillId="20" borderId="11" xfId="0" applyNumberFormat="1" applyFont="1" applyFill="1" applyBorder="1" applyAlignment="1">
      <alignment vertical="center"/>
    </xf>
    <xf numFmtId="4" fontId="30" fillId="21" borderId="11" xfId="0" applyNumberFormat="1" applyFont="1" applyFill="1" applyBorder="1" applyAlignment="1">
      <alignment vertical="center"/>
    </xf>
    <xf numFmtId="4" fontId="30" fillId="22" borderId="11" xfId="0" applyNumberFormat="1" applyFont="1" applyFill="1" applyBorder="1" applyAlignment="1">
      <alignment vertical="center"/>
    </xf>
    <xf numFmtId="4" fontId="30" fillId="23" borderId="11" xfId="0" applyNumberFormat="1" applyFont="1" applyFill="1" applyBorder="1" applyAlignment="1">
      <alignment vertical="center"/>
    </xf>
    <xf numFmtId="4" fontId="30" fillId="24" borderId="11" xfId="0" applyNumberFormat="1" applyFont="1" applyFill="1" applyBorder="1" applyAlignment="1">
      <alignment vertical="center"/>
    </xf>
    <xf numFmtId="0" fontId="30" fillId="13" borderId="12" xfId="0" applyFont="1" applyFill="1" applyBorder="1" applyAlignment="1">
      <alignment vertical="center"/>
    </xf>
    <xf numFmtId="4" fontId="30" fillId="13" borderId="12" xfId="0" applyNumberFormat="1" applyFont="1" applyFill="1" applyBorder="1" applyAlignment="1">
      <alignment vertical="center"/>
    </xf>
    <xf numFmtId="4" fontId="30" fillId="20" borderId="12" xfId="0" applyNumberFormat="1" applyFont="1" applyFill="1" applyBorder="1" applyAlignment="1">
      <alignment vertical="center"/>
    </xf>
    <xf numFmtId="4" fontId="30" fillId="21" borderId="12" xfId="0" applyNumberFormat="1" applyFont="1" applyFill="1" applyBorder="1" applyAlignment="1">
      <alignment vertical="center"/>
    </xf>
    <xf numFmtId="4" fontId="30" fillId="22" borderId="12" xfId="0" applyNumberFormat="1" applyFont="1" applyFill="1" applyBorder="1" applyAlignment="1">
      <alignment vertical="center"/>
    </xf>
    <xf numFmtId="4" fontId="30" fillId="23" borderId="12" xfId="0" applyNumberFormat="1" applyFont="1" applyFill="1" applyBorder="1" applyAlignment="1">
      <alignment vertical="center"/>
    </xf>
    <xf numFmtId="4" fontId="30" fillId="24" borderId="12" xfId="0" applyNumberFormat="1" applyFont="1" applyFill="1" applyBorder="1" applyAlignment="1">
      <alignment vertical="center"/>
    </xf>
    <xf numFmtId="0" fontId="20" fillId="12" borderId="3" xfId="0" applyFont="1" applyFill="1" applyBorder="1" applyAlignment="1">
      <alignment horizontal="center" vertical="center"/>
    </xf>
    <xf numFmtId="3" fontId="20" fillId="12" borderId="3" xfId="0" applyNumberFormat="1" applyFont="1" applyFill="1" applyBorder="1" applyAlignment="1">
      <alignment horizontal="center" vertical="center"/>
    </xf>
    <xf numFmtId="3" fontId="33" fillId="15" borderId="3" xfId="0" applyNumberFormat="1" applyFont="1" applyFill="1" applyBorder="1" applyAlignment="1">
      <alignment horizontal="center" vertical="center"/>
    </xf>
    <xf numFmtId="3" fontId="33" fillId="16" borderId="3" xfId="0" applyNumberFormat="1" applyFont="1" applyFill="1" applyBorder="1" applyAlignment="1">
      <alignment horizontal="center" vertical="center"/>
    </xf>
    <xf numFmtId="3" fontId="33" fillId="17" borderId="3" xfId="0" applyNumberFormat="1" applyFont="1" applyFill="1" applyBorder="1" applyAlignment="1">
      <alignment horizontal="center" vertical="center"/>
    </xf>
    <xf numFmtId="3" fontId="33" fillId="18" borderId="3" xfId="0" applyNumberFormat="1" applyFont="1" applyFill="1" applyBorder="1" applyAlignment="1">
      <alignment horizontal="center" vertical="center"/>
    </xf>
    <xf numFmtId="3" fontId="33" fillId="19" borderId="3" xfId="0" applyNumberFormat="1" applyFont="1" applyFill="1" applyBorder="1" applyAlignment="1">
      <alignment horizontal="center" vertical="center"/>
    </xf>
    <xf numFmtId="4" fontId="30" fillId="25" borderId="10" xfId="0" applyNumberFormat="1" applyFont="1" applyFill="1" applyBorder="1" applyAlignment="1">
      <alignment vertical="center"/>
    </xf>
    <xf numFmtId="4" fontId="30" fillId="25" borderId="11" xfId="0" applyNumberFormat="1" applyFont="1" applyFill="1" applyBorder="1" applyAlignment="1">
      <alignment vertical="center"/>
    </xf>
    <xf numFmtId="4" fontId="30" fillId="25" borderId="12" xfId="0" applyNumberFormat="1" applyFont="1" applyFill="1" applyBorder="1" applyAlignment="1">
      <alignment vertical="center"/>
    </xf>
    <xf numFmtId="0" fontId="25" fillId="26" borderId="3" xfId="0" applyFont="1" applyFill="1" applyBorder="1" applyAlignment="1">
      <alignment horizontal="center" vertical="center" wrapText="1"/>
    </xf>
    <xf numFmtId="0" fontId="22" fillId="26" borderId="3" xfId="0" applyFont="1" applyFill="1" applyBorder="1" applyAlignment="1">
      <alignment horizontal="center" vertical="center"/>
    </xf>
    <xf numFmtId="0" fontId="33" fillId="26" borderId="3" xfId="0" applyFont="1" applyFill="1" applyBorder="1" applyAlignment="1">
      <alignment horizontal="center" vertical="center"/>
    </xf>
    <xf numFmtId="3" fontId="33" fillId="26" borderId="3" xfId="0" applyNumberFormat="1" applyFont="1" applyFill="1" applyBorder="1" applyAlignment="1">
      <alignment horizontal="center" vertical="center"/>
    </xf>
    <xf numFmtId="0" fontId="22" fillId="27" borderId="3" xfId="0" applyFont="1" applyFill="1" applyBorder="1" applyAlignment="1">
      <alignment horizontal="center" vertical="center"/>
    </xf>
    <xf numFmtId="0" fontId="25" fillId="27" borderId="3" xfId="0" applyFont="1" applyFill="1" applyBorder="1" applyAlignment="1">
      <alignment horizontal="center" vertical="center" wrapText="1"/>
    </xf>
    <xf numFmtId="3" fontId="33" fillId="27" borderId="3" xfId="0" applyNumberFormat="1" applyFont="1" applyFill="1" applyBorder="1" applyAlignment="1">
      <alignment horizontal="center" vertical="center"/>
    </xf>
    <xf numFmtId="4" fontId="30" fillId="28" borderId="10" xfId="0" applyNumberFormat="1" applyFont="1" applyFill="1" applyBorder="1" applyAlignment="1">
      <alignment vertical="center"/>
    </xf>
    <xf numFmtId="4" fontId="30" fillId="28" borderId="11" xfId="0" applyNumberFormat="1" applyFont="1" applyFill="1" applyBorder="1" applyAlignment="1">
      <alignment vertical="center"/>
    </xf>
    <xf numFmtId="4" fontId="30" fillId="28" borderId="12" xfId="0" applyNumberFormat="1" applyFont="1" applyFill="1" applyBorder="1" applyAlignment="1">
      <alignment vertical="center"/>
    </xf>
    <xf numFmtId="0" fontId="34" fillId="29" borderId="13" xfId="0" applyFont="1" applyFill="1" applyBorder="1" applyAlignment="1">
      <alignment horizontal="center" vertical="center" wrapText="1"/>
    </xf>
    <xf numFmtId="0" fontId="34" fillId="29" borderId="14" xfId="0" applyFont="1" applyFill="1" applyBorder="1" applyAlignment="1">
      <alignment horizontal="center" vertical="center" wrapText="1"/>
    </xf>
    <xf numFmtId="0" fontId="35" fillId="29" borderId="0" xfId="0" applyFont="1" applyFill="1" applyAlignment="1">
      <alignment horizontal="center" vertical="center" wrapText="1"/>
    </xf>
    <xf numFmtId="0" fontId="35" fillId="29" borderId="15" xfId="0" applyFont="1" applyFill="1" applyBorder="1" applyAlignment="1">
      <alignment horizontal="center" vertical="center" wrapText="1"/>
    </xf>
    <xf numFmtId="0" fontId="35" fillId="29" borderId="16" xfId="0" applyFont="1" applyFill="1" applyBorder="1" applyAlignment="1">
      <alignment horizontal="center" vertical="center" wrapText="1"/>
    </xf>
    <xf numFmtId="0" fontId="35" fillId="29" borderId="17" xfId="0" applyFont="1" applyFill="1" applyBorder="1" applyAlignment="1">
      <alignment horizontal="center" vertical="center" wrapText="1"/>
    </xf>
    <xf numFmtId="14" fontId="36" fillId="30" borderId="18" xfId="0" applyNumberFormat="1" applyFont="1" applyFill="1" applyBorder="1" applyAlignment="1">
      <alignment horizontal="center" vertical="center"/>
    </xf>
    <xf numFmtId="0" fontId="36" fillId="30" borderId="18" xfId="0" applyFont="1" applyFill="1" applyBorder="1" applyAlignment="1">
      <alignment vertical="center"/>
    </xf>
    <xf numFmtId="4" fontId="36" fillId="30" borderId="16" xfId="0" applyNumberFormat="1" applyFont="1" applyFill="1" applyBorder="1" applyAlignment="1">
      <alignment horizontal="center" vertical="center"/>
    </xf>
    <xf numFmtId="4" fontId="36" fillId="30" borderId="18" xfId="0" applyNumberFormat="1" applyFont="1" applyFill="1" applyBorder="1" applyAlignment="1">
      <alignment horizontal="center" vertical="center"/>
    </xf>
    <xf numFmtId="0" fontId="34" fillId="29" borderId="19" xfId="0" applyFont="1" applyFill="1" applyBorder="1" applyAlignment="1">
      <alignment horizontal="center" vertical="center" wrapText="1"/>
    </xf>
    <xf numFmtId="0" fontId="35" fillId="29" borderId="20" xfId="0" applyFont="1" applyFill="1" applyBorder="1" applyAlignment="1">
      <alignment horizontal="center" vertical="center" wrapText="1"/>
    </xf>
    <xf numFmtId="0" fontId="0" fillId="31" borderId="0" xfId="0" applyFill="1"/>
    <xf numFmtId="0" fontId="22" fillId="13" borderId="3" xfId="0" applyFont="1" applyFill="1" applyBorder="1" applyAlignment="1">
      <alignment vertical="center"/>
    </xf>
    <xf numFmtId="0" fontId="20" fillId="13" borderId="3" xfId="0" applyFont="1" applyFill="1" applyBorder="1" applyAlignment="1">
      <alignment horizontal="left" vertical="center" indent="5"/>
    </xf>
    <xf numFmtId="0" fontId="37" fillId="32" borderId="0" xfId="0" applyFont="1" applyFill="1" applyAlignment="1">
      <alignment horizontal="left"/>
    </xf>
    <xf numFmtId="0" fontId="37" fillId="32" borderId="0" xfId="0" applyFont="1" applyFill="1" applyAlignment="1">
      <alignment horizontal="center"/>
    </xf>
    <xf numFmtId="0" fontId="38" fillId="32" borderId="0" xfId="0" applyFont="1" applyFill="1" applyAlignment="1">
      <alignment horizontal="left" vertical="center"/>
    </xf>
    <xf numFmtId="0" fontId="39" fillId="32" borderId="0" xfId="0" applyFont="1" applyFill="1" applyAlignment="1">
      <alignment horizontal="center"/>
    </xf>
    <xf numFmtId="0" fontId="40" fillId="33" borderId="0" xfId="0" applyFont="1" applyFill="1"/>
    <xf numFmtId="0" fontId="42" fillId="33" borderId="0" xfId="0" applyFont="1" applyFill="1" applyAlignment="1">
      <alignment vertical="center"/>
    </xf>
    <xf numFmtId="0" fontId="42" fillId="0" borderId="0" xfId="0" applyFont="1" applyAlignment="1">
      <alignment vertical="center"/>
    </xf>
    <xf numFmtId="0" fontId="43" fillId="0" borderId="0" xfId="0" applyFont="1"/>
    <xf numFmtId="0" fontId="41" fillId="33" borderId="0" xfId="0" applyFont="1" applyFill="1"/>
    <xf numFmtId="0" fontId="41" fillId="0" borderId="0" xfId="0" applyFont="1"/>
    <xf numFmtId="0" fontId="41" fillId="0" borderId="21" xfId="0" applyFont="1" applyBorder="1"/>
    <xf numFmtId="0" fontId="40" fillId="0" borderId="0" xfId="0" applyFont="1"/>
    <xf numFmtId="0" fontId="44" fillId="0" borderId="21" xfId="0" applyFont="1" applyBorder="1"/>
    <xf numFmtId="0" fontId="34" fillId="0" borderId="0" xfId="0" applyFont="1"/>
    <xf numFmtId="0" fontId="1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22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375623"/>
      </font>
    </dxf>
    <dxf>
      <font>
        <color rgb="FFC00000"/>
      </font>
    </dxf>
    <dxf>
      <font>
        <color rgb="FF375623"/>
      </font>
    </dxf>
    <dxf>
      <font>
        <color rgb="FF375623"/>
      </font>
    </dxf>
    <dxf>
      <font>
        <color rgb="FFC00000"/>
      </font>
    </dxf>
    <dxf>
      <font>
        <color rgb="FF375623"/>
      </font>
    </dxf>
    <dxf>
      <font>
        <color rgb="FFC00000"/>
      </font>
    </dxf>
    <dxf>
      <font>
        <color rgb="FF375623"/>
      </font>
    </dxf>
    <dxf>
      <font>
        <color rgb="FF375623"/>
      </font>
    </dxf>
    <dxf>
      <font>
        <color rgb="FFC00000"/>
      </font>
    </dxf>
    <dxf>
      <font>
        <color rgb="FF375623"/>
      </font>
    </dxf>
    <dxf>
      <font>
        <color rgb="FFC00000"/>
      </font>
    </dxf>
    <dxf>
      <font>
        <color rgb="FFC00000"/>
      </font>
    </dxf>
    <dxf>
      <font>
        <color rgb="FF375623"/>
      </font>
    </dxf>
    <dxf>
      <font>
        <color rgb="FF375623"/>
      </font>
    </dxf>
    <dxf>
      <fill>
        <patternFill patternType="none"/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Cummulative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numRef>
              <c:f>'Cashflow NOV'!$G$24:$G$67</c:f>
              <c:numCache>
                <c:formatCode>m/d/yyyy</c:formatCode>
                <c:ptCount val="44"/>
                <c:pt idx="0">
                  <c:v>45962</c:v>
                </c:pt>
                <c:pt idx="1">
                  <c:v>45962</c:v>
                </c:pt>
                <c:pt idx="2">
                  <c:v>45962</c:v>
                </c:pt>
                <c:pt idx="3">
                  <c:v>45962</c:v>
                </c:pt>
                <c:pt idx="4">
                  <c:v>45962</c:v>
                </c:pt>
                <c:pt idx="5">
                  <c:v>45962</c:v>
                </c:pt>
                <c:pt idx="6">
                  <c:v>45965</c:v>
                </c:pt>
                <c:pt idx="7">
                  <c:v>45967</c:v>
                </c:pt>
                <c:pt idx="8">
                  <c:v>45968</c:v>
                </c:pt>
                <c:pt idx="9">
                  <c:v>45971</c:v>
                </c:pt>
                <c:pt idx="10">
                  <c:v>45974</c:v>
                </c:pt>
                <c:pt idx="11">
                  <c:v>45975</c:v>
                </c:pt>
                <c:pt idx="12">
                  <c:v>45975</c:v>
                </c:pt>
                <c:pt idx="13">
                  <c:v>45975</c:v>
                </c:pt>
                <c:pt idx="14">
                  <c:v>45975</c:v>
                </c:pt>
                <c:pt idx="15">
                  <c:v>45975</c:v>
                </c:pt>
                <c:pt idx="16">
                  <c:v>45975</c:v>
                </c:pt>
                <c:pt idx="17">
                  <c:v>45975</c:v>
                </c:pt>
                <c:pt idx="18">
                  <c:v>45975</c:v>
                </c:pt>
                <c:pt idx="19">
                  <c:v>45975</c:v>
                </c:pt>
                <c:pt idx="20">
                  <c:v>45975</c:v>
                </c:pt>
                <c:pt idx="21">
                  <c:v>45975</c:v>
                </c:pt>
                <c:pt idx="22">
                  <c:v>45975</c:v>
                </c:pt>
                <c:pt idx="23">
                  <c:v>45975</c:v>
                </c:pt>
                <c:pt idx="24">
                  <c:v>45976</c:v>
                </c:pt>
                <c:pt idx="25">
                  <c:v>45976</c:v>
                </c:pt>
                <c:pt idx="26">
                  <c:v>45976</c:v>
                </c:pt>
                <c:pt idx="27">
                  <c:v>45977</c:v>
                </c:pt>
                <c:pt idx="28">
                  <c:v>45977</c:v>
                </c:pt>
                <c:pt idx="29">
                  <c:v>45977</c:v>
                </c:pt>
                <c:pt idx="30">
                  <c:v>45982</c:v>
                </c:pt>
                <c:pt idx="31">
                  <c:v>45984</c:v>
                </c:pt>
                <c:pt idx="32">
                  <c:v>45985</c:v>
                </c:pt>
                <c:pt idx="33">
                  <c:v>45985</c:v>
                </c:pt>
                <c:pt idx="34">
                  <c:v>45985</c:v>
                </c:pt>
                <c:pt idx="35">
                  <c:v>45989</c:v>
                </c:pt>
                <c:pt idx="36">
                  <c:v>45989</c:v>
                </c:pt>
                <c:pt idx="37">
                  <c:v>45992</c:v>
                </c:pt>
                <c:pt idx="38">
                  <c:v>45992</c:v>
                </c:pt>
              </c:numCache>
            </c:numRef>
          </c:cat>
          <c:val>
            <c:numRef>
              <c:f>'Cashflow NOV'!$H$24:$H$67</c:f>
              <c:numCache>
                <c:formatCode>"$"#,##0.00</c:formatCode>
                <c:ptCount val="44"/>
                <c:pt idx="0">
                  <c:v>1387.5900000000001</c:v>
                </c:pt>
                <c:pt idx="1">
                  <c:v>1376.95</c:v>
                </c:pt>
                <c:pt idx="2">
                  <c:v>1343.79</c:v>
                </c:pt>
                <c:pt idx="3">
                  <c:v>1325.79</c:v>
                </c:pt>
                <c:pt idx="4">
                  <c:v>972.07999999999993</c:v>
                </c:pt>
                <c:pt idx="5">
                  <c:v>703.63999999999987</c:v>
                </c:pt>
                <c:pt idx="6">
                  <c:v>703.63999999999987</c:v>
                </c:pt>
                <c:pt idx="7">
                  <c:v>670.76999999999987</c:v>
                </c:pt>
                <c:pt idx="8">
                  <c:v>420.76999999999987</c:v>
                </c:pt>
                <c:pt idx="9">
                  <c:v>340.76999999999987</c:v>
                </c:pt>
                <c:pt idx="10">
                  <c:v>278.76999999999987</c:v>
                </c:pt>
                <c:pt idx="11">
                  <c:v>3483.84</c:v>
                </c:pt>
                <c:pt idx="12">
                  <c:v>3483.84</c:v>
                </c:pt>
                <c:pt idx="13">
                  <c:v>3378.55</c:v>
                </c:pt>
                <c:pt idx="14">
                  <c:v>3363.5600000000004</c:v>
                </c:pt>
                <c:pt idx="15">
                  <c:v>3243.5600000000004</c:v>
                </c:pt>
                <c:pt idx="16">
                  <c:v>3062.4300000000003</c:v>
                </c:pt>
                <c:pt idx="17">
                  <c:v>2887.4300000000003</c:v>
                </c:pt>
                <c:pt idx="18">
                  <c:v>2785.4</c:v>
                </c:pt>
                <c:pt idx="19">
                  <c:v>2689.4500000000003</c:v>
                </c:pt>
                <c:pt idx="20">
                  <c:v>2614.5000000000005</c:v>
                </c:pt>
                <c:pt idx="21">
                  <c:v>2532.1300000000006</c:v>
                </c:pt>
                <c:pt idx="22">
                  <c:v>2517.9900000000007</c:v>
                </c:pt>
                <c:pt idx="23">
                  <c:v>1922.3100000000009</c:v>
                </c:pt>
                <c:pt idx="24">
                  <c:v>1522.3100000000009</c:v>
                </c:pt>
                <c:pt idx="25">
                  <c:v>1022.3100000000009</c:v>
                </c:pt>
                <c:pt idx="26">
                  <c:v>522.31000000000085</c:v>
                </c:pt>
                <c:pt idx="27">
                  <c:v>492.31000000000085</c:v>
                </c:pt>
                <c:pt idx="28">
                  <c:v>442.31000000000085</c:v>
                </c:pt>
                <c:pt idx="29">
                  <c:v>422.11000000000087</c:v>
                </c:pt>
                <c:pt idx="30">
                  <c:v>172.11000000000087</c:v>
                </c:pt>
                <c:pt idx="31">
                  <c:v>152.81000000000085</c:v>
                </c:pt>
                <c:pt idx="32">
                  <c:v>652.81000000000085</c:v>
                </c:pt>
                <c:pt idx="33">
                  <c:v>572.81000000000085</c:v>
                </c:pt>
                <c:pt idx="34">
                  <c:v>550.58000000000084</c:v>
                </c:pt>
                <c:pt idx="35">
                  <c:v>300.58000000000084</c:v>
                </c:pt>
                <c:pt idx="36">
                  <c:v>195.29000000000082</c:v>
                </c:pt>
                <c:pt idx="37">
                  <c:v>3400.360000000001</c:v>
                </c:pt>
                <c:pt idx="38">
                  <c:v>2400.360000000001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7-4742-8C37-8F93A0852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17268"/>
        <c:axId val="112497668"/>
      </c:lineChart>
      <c:dateAx>
        <c:axId val="263617268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crossAx val="112497668"/>
        <c:crosses val="autoZero"/>
        <c:auto val="1"/>
        <c:lblOffset val="100"/>
        <c:baseTimeUnit val="days"/>
      </c:dateAx>
      <c:valAx>
        <c:axId val="112497668"/>
        <c:scaling>
          <c:orientation val="minMax"/>
        </c:scaling>
        <c:delete val="1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&quot;$&quot;#,##0.00" sourceLinked="0"/>
        <c:majorTickMark val="cross"/>
        <c:minorTickMark val="none"/>
        <c:tickLblPos val="nextTo"/>
        <c:crossAx val="26361726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Cummulative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numRef>
              <c:f>Cashflow!$G$24:$G$69</c:f>
              <c:numCache>
                <c:formatCode>m/d/yyyy</c:formatCode>
                <c:ptCount val="46"/>
                <c:pt idx="0">
                  <c:v>45931</c:v>
                </c:pt>
                <c:pt idx="1">
                  <c:v>45931</c:v>
                </c:pt>
                <c:pt idx="2">
                  <c:v>45933</c:v>
                </c:pt>
                <c:pt idx="3">
                  <c:v>45934</c:v>
                </c:pt>
                <c:pt idx="4">
                  <c:v>45931</c:v>
                </c:pt>
                <c:pt idx="5">
                  <c:v>45936</c:v>
                </c:pt>
                <c:pt idx="6">
                  <c:v>45939</c:v>
                </c:pt>
                <c:pt idx="7">
                  <c:v>45939</c:v>
                </c:pt>
                <c:pt idx="8">
                  <c:v>45940</c:v>
                </c:pt>
                <c:pt idx="9">
                  <c:v>45940</c:v>
                </c:pt>
                <c:pt idx="10">
                  <c:v>45941</c:v>
                </c:pt>
                <c:pt idx="11">
                  <c:v>45943</c:v>
                </c:pt>
                <c:pt idx="12">
                  <c:v>45944</c:v>
                </c:pt>
                <c:pt idx="13">
                  <c:v>45944</c:v>
                </c:pt>
                <c:pt idx="14">
                  <c:v>45945</c:v>
                </c:pt>
                <c:pt idx="15">
                  <c:v>45945</c:v>
                </c:pt>
                <c:pt idx="16">
                  <c:v>45945</c:v>
                </c:pt>
                <c:pt idx="17">
                  <c:v>45945</c:v>
                </c:pt>
                <c:pt idx="18">
                  <c:v>45945</c:v>
                </c:pt>
                <c:pt idx="19">
                  <c:v>45945</c:v>
                </c:pt>
                <c:pt idx="20">
                  <c:v>45931</c:v>
                </c:pt>
                <c:pt idx="21">
                  <c:v>45945</c:v>
                </c:pt>
                <c:pt idx="22">
                  <c:v>45945</c:v>
                </c:pt>
                <c:pt idx="23">
                  <c:v>45945</c:v>
                </c:pt>
                <c:pt idx="24">
                  <c:v>45945</c:v>
                </c:pt>
                <c:pt idx="25">
                  <c:v>45945</c:v>
                </c:pt>
                <c:pt idx="26">
                  <c:v>45946</c:v>
                </c:pt>
                <c:pt idx="27">
                  <c:v>45946</c:v>
                </c:pt>
                <c:pt idx="28">
                  <c:v>45946</c:v>
                </c:pt>
                <c:pt idx="29">
                  <c:v>45947</c:v>
                </c:pt>
                <c:pt idx="30">
                  <c:v>45947</c:v>
                </c:pt>
                <c:pt idx="31">
                  <c:v>45953</c:v>
                </c:pt>
                <c:pt idx="32">
                  <c:v>45954</c:v>
                </c:pt>
                <c:pt idx="33">
                  <c:v>45954</c:v>
                </c:pt>
                <c:pt idx="34">
                  <c:v>45954</c:v>
                </c:pt>
                <c:pt idx="35">
                  <c:v>45958</c:v>
                </c:pt>
                <c:pt idx="36">
                  <c:v>45961</c:v>
                </c:pt>
                <c:pt idx="37">
                  <c:v>45961</c:v>
                </c:pt>
                <c:pt idx="38">
                  <c:v>45961</c:v>
                </c:pt>
                <c:pt idx="39">
                  <c:v>45961</c:v>
                </c:pt>
                <c:pt idx="40">
                  <c:v>45961</c:v>
                </c:pt>
              </c:numCache>
            </c:numRef>
          </c:cat>
          <c:val>
            <c:numRef>
              <c:f>Cashflow!$H$24:$H$69</c:f>
              <c:numCache>
                <c:formatCode>"$"#,##0.00</c:formatCode>
                <c:ptCount val="46"/>
                <c:pt idx="0">
                  <c:v>984.73</c:v>
                </c:pt>
                <c:pt idx="1">
                  <c:v>984.73</c:v>
                </c:pt>
                <c:pt idx="2">
                  <c:v>984.73</c:v>
                </c:pt>
                <c:pt idx="3">
                  <c:v>984.73</c:v>
                </c:pt>
                <c:pt idx="4">
                  <c:v>984.73</c:v>
                </c:pt>
                <c:pt idx="5">
                  <c:v>984.73</c:v>
                </c:pt>
                <c:pt idx="6">
                  <c:v>984.73</c:v>
                </c:pt>
                <c:pt idx="7">
                  <c:v>984.73</c:v>
                </c:pt>
                <c:pt idx="8">
                  <c:v>984.73</c:v>
                </c:pt>
                <c:pt idx="9">
                  <c:v>984.73</c:v>
                </c:pt>
                <c:pt idx="10">
                  <c:v>984.73</c:v>
                </c:pt>
                <c:pt idx="11">
                  <c:v>984.73</c:v>
                </c:pt>
                <c:pt idx="12">
                  <c:v>984.73</c:v>
                </c:pt>
                <c:pt idx="13">
                  <c:v>984.73</c:v>
                </c:pt>
                <c:pt idx="14">
                  <c:v>984.73</c:v>
                </c:pt>
                <c:pt idx="15">
                  <c:v>984.73</c:v>
                </c:pt>
                <c:pt idx="16">
                  <c:v>984.73</c:v>
                </c:pt>
                <c:pt idx="17">
                  <c:v>984.73</c:v>
                </c:pt>
                <c:pt idx="18">
                  <c:v>984.73</c:v>
                </c:pt>
                <c:pt idx="19">
                  <c:v>951.57</c:v>
                </c:pt>
                <c:pt idx="20">
                  <c:v>951.57</c:v>
                </c:pt>
                <c:pt idx="21">
                  <c:v>951.57</c:v>
                </c:pt>
                <c:pt idx="22">
                  <c:v>951.57</c:v>
                </c:pt>
                <c:pt idx="23">
                  <c:v>951.57</c:v>
                </c:pt>
                <c:pt idx="24">
                  <c:v>951.57</c:v>
                </c:pt>
                <c:pt idx="25">
                  <c:v>951.57</c:v>
                </c:pt>
                <c:pt idx="26">
                  <c:v>921.57</c:v>
                </c:pt>
                <c:pt idx="27">
                  <c:v>871.57</c:v>
                </c:pt>
                <c:pt idx="28">
                  <c:v>851.37</c:v>
                </c:pt>
                <c:pt idx="29">
                  <c:v>851.37</c:v>
                </c:pt>
                <c:pt idx="30">
                  <c:v>601.37</c:v>
                </c:pt>
                <c:pt idx="31">
                  <c:v>582.07000000000005</c:v>
                </c:pt>
                <c:pt idx="32">
                  <c:v>502.07000000000005</c:v>
                </c:pt>
                <c:pt idx="33">
                  <c:v>479.84000000000003</c:v>
                </c:pt>
                <c:pt idx="34">
                  <c:v>229.84000000000003</c:v>
                </c:pt>
                <c:pt idx="35">
                  <c:v>124.55000000000003</c:v>
                </c:pt>
                <c:pt idx="36">
                  <c:v>3329.6200000000003</c:v>
                </c:pt>
                <c:pt idx="37">
                  <c:v>2534.13</c:v>
                </c:pt>
                <c:pt idx="38">
                  <c:v>2034.13</c:v>
                </c:pt>
                <c:pt idx="39">
                  <c:v>1734.13</c:v>
                </c:pt>
                <c:pt idx="40">
                  <c:v>1534.13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4-41ED-9763-EA11291C2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2835301"/>
        <c:axId val="1274254625"/>
      </c:lineChart>
      <c:dateAx>
        <c:axId val="662835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74254625"/>
        <c:crosses val="autoZero"/>
        <c:auto val="1"/>
        <c:lblOffset val="100"/>
        <c:baseTimeUnit val="days"/>
      </c:dateAx>
      <c:valAx>
        <c:axId val="12742546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&quot;$&quot;#,##0.00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283530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Cummulative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numRef>
              <c:f>'Cashflow NOV'!$G$24:$G$67</c:f>
              <c:numCache>
                <c:formatCode>m/d/yyyy</c:formatCode>
                <c:ptCount val="44"/>
                <c:pt idx="0">
                  <c:v>45962</c:v>
                </c:pt>
                <c:pt idx="1">
                  <c:v>45962</c:v>
                </c:pt>
                <c:pt idx="2">
                  <c:v>45962</c:v>
                </c:pt>
                <c:pt idx="3">
                  <c:v>45962</c:v>
                </c:pt>
                <c:pt idx="4">
                  <c:v>45962</c:v>
                </c:pt>
                <c:pt idx="5">
                  <c:v>45962</c:v>
                </c:pt>
                <c:pt idx="6">
                  <c:v>45965</c:v>
                </c:pt>
                <c:pt idx="7">
                  <c:v>45967</c:v>
                </c:pt>
                <c:pt idx="8">
                  <c:v>45968</c:v>
                </c:pt>
                <c:pt idx="9">
                  <c:v>45971</c:v>
                </c:pt>
                <c:pt idx="10">
                  <c:v>45974</c:v>
                </c:pt>
                <c:pt idx="11">
                  <c:v>45975</c:v>
                </c:pt>
                <c:pt idx="12">
                  <c:v>45975</c:v>
                </c:pt>
                <c:pt idx="13">
                  <c:v>45975</c:v>
                </c:pt>
                <c:pt idx="14">
                  <c:v>45975</c:v>
                </c:pt>
                <c:pt idx="15">
                  <c:v>45975</c:v>
                </c:pt>
                <c:pt idx="16">
                  <c:v>45975</c:v>
                </c:pt>
                <c:pt idx="17">
                  <c:v>45975</c:v>
                </c:pt>
                <c:pt idx="18">
                  <c:v>45975</c:v>
                </c:pt>
                <c:pt idx="19">
                  <c:v>45975</c:v>
                </c:pt>
                <c:pt idx="20">
                  <c:v>45975</c:v>
                </c:pt>
                <c:pt idx="21">
                  <c:v>45975</c:v>
                </c:pt>
                <c:pt idx="22">
                  <c:v>45975</c:v>
                </c:pt>
                <c:pt idx="23">
                  <c:v>45975</c:v>
                </c:pt>
                <c:pt idx="24">
                  <c:v>45976</c:v>
                </c:pt>
                <c:pt idx="25">
                  <c:v>45976</c:v>
                </c:pt>
                <c:pt idx="26">
                  <c:v>45976</c:v>
                </c:pt>
                <c:pt idx="27">
                  <c:v>45977</c:v>
                </c:pt>
                <c:pt idx="28">
                  <c:v>45977</c:v>
                </c:pt>
                <c:pt idx="29">
                  <c:v>45977</c:v>
                </c:pt>
                <c:pt idx="30">
                  <c:v>45982</c:v>
                </c:pt>
                <c:pt idx="31">
                  <c:v>45984</c:v>
                </c:pt>
                <c:pt idx="32">
                  <c:v>45985</c:v>
                </c:pt>
                <c:pt idx="33">
                  <c:v>45985</c:v>
                </c:pt>
                <c:pt idx="34">
                  <c:v>45985</c:v>
                </c:pt>
                <c:pt idx="35">
                  <c:v>45989</c:v>
                </c:pt>
                <c:pt idx="36">
                  <c:v>45989</c:v>
                </c:pt>
                <c:pt idx="37">
                  <c:v>45992</c:v>
                </c:pt>
                <c:pt idx="38">
                  <c:v>45992</c:v>
                </c:pt>
              </c:numCache>
            </c:numRef>
          </c:cat>
          <c:val>
            <c:numRef>
              <c:f>'Cashflow NOV'!$H$24:$H$67</c:f>
              <c:numCache>
                <c:formatCode>"$"#,##0.00</c:formatCode>
                <c:ptCount val="44"/>
                <c:pt idx="0">
                  <c:v>1387.5900000000001</c:v>
                </c:pt>
                <c:pt idx="1">
                  <c:v>1376.95</c:v>
                </c:pt>
                <c:pt idx="2">
                  <c:v>1343.79</c:v>
                </c:pt>
                <c:pt idx="3">
                  <c:v>1325.79</c:v>
                </c:pt>
                <c:pt idx="4">
                  <c:v>972.07999999999993</c:v>
                </c:pt>
                <c:pt idx="5">
                  <c:v>703.63999999999987</c:v>
                </c:pt>
                <c:pt idx="6">
                  <c:v>703.63999999999987</c:v>
                </c:pt>
                <c:pt idx="7">
                  <c:v>670.76999999999987</c:v>
                </c:pt>
                <c:pt idx="8">
                  <c:v>420.76999999999987</c:v>
                </c:pt>
                <c:pt idx="9">
                  <c:v>340.76999999999987</c:v>
                </c:pt>
                <c:pt idx="10">
                  <c:v>278.76999999999987</c:v>
                </c:pt>
                <c:pt idx="11">
                  <c:v>3483.84</c:v>
                </c:pt>
                <c:pt idx="12">
                  <c:v>3483.84</c:v>
                </c:pt>
                <c:pt idx="13">
                  <c:v>3378.55</c:v>
                </c:pt>
                <c:pt idx="14">
                  <c:v>3363.5600000000004</c:v>
                </c:pt>
                <c:pt idx="15">
                  <c:v>3243.5600000000004</c:v>
                </c:pt>
                <c:pt idx="16">
                  <c:v>3062.4300000000003</c:v>
                </c:pt>
                <c:pt idx="17">
                  <c:v>2887.4300000000003</c:v>
                </c:pt>
                <c:pt idx="18">
                  <c:v>2785.4</c:v>
                </c:pt>
                <c:pt idx="19">
                  <c:v>2689.4500000000003</c:v>
                </c:pt>
                <c:pt idx="20">
                  <c:v>2614.5000000000005</c:v>
                </c:pt>
                <c:pt idx="21">
                  <c:v>2532.1300000000006</c:v>
                </c:pt>
                <c:pt idx="22">
                  <c:v>2517.9900000000007</c:v>
                </c:pt>
                <c:pt idx="23">
                  <c:v>1922.3100000000009</c:v>
                </c:pt>
                <c:pt idx="24">
                  <c:v>1522.3100000000009</c:v>
                </c:pt>
                <c:pt idx="25">
                  <c:v>1022.3100000000009</c:v>
                </c:pt>
                <c:pt idx="26">
                  <c:v>522.31000000000085</c:v>
                </c:pt>
                <c:pt idx="27">
                  <c:v>492.31000000000085</c:v>
                </c:pt>
                <c:pt idx="28">
                  <c:v>442.31000000000085</c:v>
                </c:pt>
                <c:pt idx="29">
                  <c:v>422.11000000000087</c:v>
                </c:pt>
                <c:pt idx="30">
                  <c:v>172.11000000000087</c:v>
                </c:pt>
                <c:pt idx="31">
                  <c:v>152.81000000000085</c:v>
                </c:pt>
                <c:pt idx="32">
                  <c:v>652.81000000000085</c:v>
                </c:pt>
                <c:pt idx="33">
                  <c:v>572.81000000000085</c:v>
                </c:pt>
                <c:pt idx="34">
                  <c:v>550.58000000000084</c:v>
                </c:pt>
                <c:pt idx="35">
                  <c:v>300.58000000000084</c:v>
                </c:pt>
                <c:pt idx="36">
                  <c:v>195.29000000000082</c:v>
                </c:pt>
                <c:pt idx="37">
                  <c:v>3400.360000000001</c:v>
                </c:pt>
                <c:pt idx="38">
                  <c:v>2400.360000000001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4C-4D7D-B89E-EC5A72F6E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17268"/>
        <c:axId val="112497668"/>
      </c:lineChart>
      <c:dateAx>
        <c:axId val="2636172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497668"/>
        <c:crosses val="autoZero"/>
        <c:auto val="1"/>
        <c:lblOffset val="100"/>
        <c:baseTimeUnit val="days"/>
      </c:dateAx>
      <c:valAx>
        <c:axId val="1124976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&quot;$&quot;#,##0.00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361726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Cummulative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numRef>
              <c:f>'Cashflow DEC'!$G$24:$G$67</c:f>
              <c:numCache>
                <c:formatCode>m/d/yyyy</c:formatCode>
                <c:ptCount val="44"/>
                <c:pt idx="0">
                  <c:v>45992</c:v>
                </c:pt>
                <c:pt idx="1">
                  <c:v>45992</c:v>
                </c:pt>
                <c:pt idx="2">
                  <c:v>45992</c:v>
                </c:pt>
                <c:pt idx="3">
                  <c:v>45992</c:v>
                </c:pt>
                <c:pt idx="4">
                  <c:v>45992</c:v>
                </c:pt>
                <c:pt idx="5">
                  <c:v>45992</c:v>
                </c:pt>
                <c:pt idx="6">
                  <c:v>45995</c:v>
                </c:pt>
                <c:pt idx="7">
                  <c:v>45997</c:v>
                </c:pt>
                <c:pt idx="8">
                  <c:v>45998</c:v>
                </c:pt>
                <c:pt idx="9">
                  <c:v>46001</c:v>
                </c:pt>
                <c:pt idx="10">
                  <c:v>46004</c:v>
                </c:pt>
                <c:pt idx="11">
                  <c:v>46005</c:v>
                </c:pt>
                <c:pt idx="12">
                  <c:v>46005</c:v>
                </c:pt>
                <c:pt idx="13">
                  <c:v>46005</c:v>
                </c:pt>
                <c:pt idx="14">
                  <c:v>46005</c:v>
                </c:pt>
                <c:pt idx="15">
                  <c:v>46005</c:v>
                </c:pt>
                <c:pt idx="16">
                  <c:v>46005</c:v>
                </c:pt>
                <c:pt idx="17">
                  <c:v>46005</c:v>
                </c:pt>
                <c:pt idx="18">
                  <c:v>46005</c:v>
                </c:pt>
                <c:pt idx="19">
                  <c:v>46005</c:v>
                </c:pt>
                <c:pt idx="20">
                  <c:v>46005</c:v>
                </c:pt>
                <c:pt idx="21">
                  <c:v>46005</c:v>
                </c:pt>
                <c:pt idx="22">
                  <c:v>46005</c:v>
                </c:pt>
                <c:pt idx="23">
                  <c:v>46005</c:v>
                </c:pt>
                <c:pt idx="24">
                  <c:v>46006</c:v>
                </c:pt>
                <c:pt idx="25">
                  <c:v>46006</c:v>
                </c:pt>
                <c:pt idx="26">
                  <c:v>46006</c:v>
                </c:pt>
                <c:pt idx="27">
                  <c:v>46007</c:v>
                </c:pt>
                <c:pt idx="28">
                  <c:v>46007</c:v>
                </c:pt>
                <c:pt idx="29">
                  <c:v>46007</c:v>
                </c:pt>
                <c:pt idx="30">
                  <c:v>46012</c:v>
                </c:pt>
                <c:pt idx="31">
                  <c:v>46014</c:v>
                </c:pt>
                <c:pt idx="32">
                  <c:v>46015</c:v>
                </c:pt>
                <c:pt idx="33">
                  <c:v>46015</c:v>
                </c:pt>
                <c:pt idx="34">
                  <c:v>46015</c:v>
                </c:pt>
                <c:pt idx="35">
                  <c:v>46019</c:v>
                </c:pt>
                <c:pt idx="36">
                  <c:v>46019</c:v>
                </c:pt>
                <c:pt idx="37">
                  <c:v>46022</c:v>
                </c:pt>
                <c:pt idx="38">
                  <c:v>46022</c:v>
                </c:pt>
              </c:numCache>
            </c:numRef>
          </c:cat>
          <c:val>
            <c:numRef>
              <c:f>'Cashflow DEC'!$H$24:$H$67</c:f>
              <c:numCache>
                <c:formatCode>"$"#,##0.00</c:formatCode>
                <c:ptCount val="44"/>
                <c:pt idx="0">
                  <c:v>2054.5500000000002</c:v>
                </c:pt>
                <c:pt idx="1">
                  <c:v>2043.91</c:v>
                </c:pt>
                <c:pt idx="2">
                  <c:v>2007.0600000000002</c:v>
                </c:pt>
                <c:pt idx="3">
                  <c:v>1989.0600000000002</c:v>
                </c:pt>
                <c:pt idx="4">
                  <c:v>1989.0600000000002</c:v>
                </c:pt>
                <c:pt idx="5">
                  <c:v>1724.1800000000003</c:v>
                </c:pt>
                <c:pt idx="6">
                  <c:v>1724.1800000000003</c:v>
                </c:pt>
                <c:pt idx="7">
                  <c:v>1691.3100000000004</c:v>
                </c:pt>
                <c:pt idx="8">
                  <c:v>1441.3100000000004</c:v>
                </c:pt>
                <c:pt idx="9">
                  <c:v>1361.3100000000004</c:v>
                </c:pt>
                <c:pt idx="10">
                  <c:v>1299.3100000000004</c:v>
                </c:pt>
                <c:pt idx="11">
                  <c:v>4504.380000000001</c:v>
                </c:pt>
                <c:pt idx="12">
                  <c:v>4254.380000000001</c:v>
                </c:pt>
                <c:pt idx="13">
                  <c:v>4149.0900000000011</c:v>
                </c:pt>
                <c:pt idx="14">
                  <c:v>4134.1000000000013</c:v>
                </c:pt>
                <c:pt idx="15">
                  <c:v>4014.1000000000013</c:v>
                </c:pt>
                <c:pt idx="16">
                  <c:v>3832.9700000000012</c:v>
                </c:pt>
                <c:pt idx="17">
                  <c:v>3657.9700000000012</c:v>
                </c:pt>
                <c:pt idx="18">
                  <c:v>3514.6200000000013</c:v>
                </c:pt>
                <c:pt idx="19">
                  <c:v>2785.3300000000013</c:v>
                </c:pt>
                <c:pt idx="20">
                  <c:v>2710.3800000000015</c:v>
                </c:pt>
                <c:pt idx="21">
                  <c:v>2628.0100000000016</c:v>
                </c:pt>
                <c:pt idx="22">
                  <c:v>2613.8700000000017</c:v>
                </c:pt>
                <c:pt idx="23">
                  <c:v>2018.1900000000019</c:v>
                </c:pt>
                <c:pt idx="24">
                  <c:v>1618.1900000000019</c:v>
                </c:pt>
                <c:pt idx="25">
                  <c:v>1118.1900000000019</c:v>
                </c:pt>
                <c:pt idx="26">
                  <c:v>618.19000000000187</c:v>
                </c:pt>
                <c:pt idx="27">
                  <c:v>588.19000000000187</c:v>
                </c:pt>
                <c:pt idx="28">
                  <c:v>538.19000000000187</c:v>
                </c:pt>
                <c:pt idx="29">
                  <c:v>517.99000000000183</c:v>
                </c:pt>
                <c:pt idx="30">
                  <c:v>267.99000000000183</c:v>
                </c:pt>
                <c:pt idx="31">
                  <c:v>248.69000000000182</c:v>
                </c:pt>
                <c:pt idx="32">
                  <c:v>748.69000000000187</c:v>
                </c:pt>
                <c:pt idx="33">
                  <c:v>668.69000000000187</c:v>
                </c:pt>
                <c:pt idx="34">
                  <c:v>646.46000000000186</c:v>
                </c:pt>
                <c:pt idx="35">
                  <c:v>396.46000000000186</c:v>
                </c:pt>
                <c:pt idx="36">
                  <c:v>291.17000000000183</c:v>
                </c:pt>
                <c:pt idx="37">
                  <c:v>3496.2400000000021</c:v>
                </c:pt>
                <c:pt idx="38">
                  <c:v>2496.2400000000021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9D-40EC-9E34-F5DF7483F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2771552"/>
        <c:axId val="2124544452"/>
      </c:lineChart>
      <c:dateAx>
        <c:axId val="1182771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24544452"/>
        <c:crosses val="autoZero"/>
        <c:auto val="1"/>
        <c:lblOffset val="100"/>
        <c:baseTimeUnit val="days"/>
      </c:dateAx>
      <c:valAx>
        <c:axId val="21245444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&quot;$&quot;#,##0.00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8277155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138545</xdr:colOff>
      <xdr:row>2</xdr:row>
      <xdr:rowOff>92363</xdr:rowOff>
    </xdr:from>
    <xdr:ext cx="3036454" cy="1581728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117D2445-4785-4336-89CF-6E3449279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381000</xdr:colOff>
      <xdr:row>5</xdr:row>
      <xdr:rowOff>114300</xdr:rowOff>
    </xdr:from>
    <xdr:ext cx="8858250" cy="2971800"/>
    <xdr:graphicFrame macro="">
      <xdr:nvGraphicFramePr>
        <xdr:cNvPr id="808994168" name="Chart 1" title="Chart">
          <a:extLst>
            <a:ext uri="{FF2B5EF4-FFF2-40B4-BE49-F238E27FC236}">
              <a16:creationId xmlns:a16="http://schemas.microsoft.com/office/drawing/2014/main" id="{00000000-0008-0000-0400-000078453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381000</xdr:colOff>
      <xdr:row>5</xdr:row>
      <xdr:rowOff>114300</xdr:rowOff>
    </xdr:from>
    <xdr:ext cx="8858250" cy="2971800"/>
    <xdr:graphicFrame macro="">
      <xdr:nvGraphicFramePr>
        <xdr:cNvPr id="260209443" name="Chart 2" title="Chart">
          <a:extLst>
            <a:ext uri="{FF2B5EF4-FFF2-40B4-BE49-F238E27FC236}">
              <a16:creationId xmlns:a16="http://schemas.microsoft.com/office/drawing/2014/main" id="{00000000-0008-0000-0500-0000237B8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381000</xdr:colOff>
      <xdr:row>5</xdr:row>
      <xdr:rowOff>114300</xdr:rowOff>
    </xdr:from>
    <xdr:ext cx="8858250" cy="2971800"/>
    <xdr:graphicFrame macro="">
      <xdr:nvGraphicFramePr>
        <xdr:cNvPr id="2121857723" name="Chart 3" title="Chart">
          <a:extLst>
            <a:ext uri="{FF2B5EF4-FFF2-40B4-BE49-F238E27FC236}">
              <a16:creationId xmlns:a16="http://schemas.microsoft.com/office/drawing/2014/main" id="{00000000-0008-0000-0600-0000BBFA7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Hollingsworth%20Family\Budget\EasyBudgetV1-Pastel-Excel.xlsx" TargetMode="External"/><Relationship Id="rId1" Type="http://schemas.openxmlformats.org/officeDocument/2006/relationships/externalLinkPath" Target="EasyBudgetV1-Pastel-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 Here"/>
      <sheetName val="Budget"/>
      <sheetName val="Terms of Use"/>
    </sheetNames>
    <sheetDataSet>
      <sheetData sheetId="0">
        <row r="17">
          <cell r="H17" t="str">
            <v>$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EB215-BE5A-4726-AD9C-F872EE5AF9D7}">
  <dimension ref="A1:F53"/>
  <sheetViews>
    <sheetView workbookViewId="0">
      <selection activeCell="D7" sqref="D7"/>
    </sheetView>
  </sheetViews>
  <sheetFormatPr defaultColWidth="12.7265625" defaultRowHeight="14.5"/>
  <cols>
    <col min="1" max="2" width="2.7265625" customWidth="1"/>
    <col min="3" max="4" width="33.1796875" customWidth="1"/>
    <col min="5" max="6" width="2.7265625" customWidth="1"/>
  </cols>
  <sheetData>
    <row r="1" spans="1:6" ht="3.75" customHeight="1">
      <c r="A1" s="202"/>
      <c r="B1" s="202"/>
      <c r="C1" s="202"/>
      <c r="D1" s="202"/>
      <c r="E1" s="203"/>
      <c r="F1" s="203"/>
    </row>
    <row r="2" spans="1:6" ht="20.5">
      <c r="A2" s="202"/>
      <c r="B2" s="204" t="s">
        <v>143</v>
      </c>
      <c r="C2" s="202"/>
      <c r="D2" s="202"/>
      <c r="E2" s="203"/>
      <c r="F2" s="203"/>
    </row>
    <row r="3" spans="1:6" ht="7.5" customHeight="1">
      <c r="A3" s="202"/>
      <c r="B3" s="202"/>
      <c r="C3" s="202"/>
      <c r="D3" s="202"/>
      <c r="E3" s="205"/>
      <c r="F3" s="203"/>
    </row>
    <row r="4" spans="1:6" ht="10" customHeight="1">
      <c r="A4" s="206"/>
      <c r="B4" s="206"/>
      <c r="C4" s="206"/>
      <c r="D4" s="206"/>
      <c r="E4" s="206"/>
      <c r="F4" s="206"/>
    </row>
    <row r="5" spans="1:6" s="209" customFormat="1" ht="28.5" customHeight="1">
      <c r="A5" s="207"/>
      <c r="B5" s="208"/>
      <c r="C5" s="208" t="s">
        <v>144</v>
      </c>
      <c r="D5" s="208" t="s">
        <v>145</v>
      </c>
      <c r="E5" s="208"/>
      <c r="F5" s="207"/>
    </row>
    <row r="6" spans="1:6">
      <c r="A6" s="210"/>
      <c r="B6" s="213"/>
      <c r="C6" s="214" t="s">
        <v>146</v>
      </c>
      <c r="D6" s="212" t="s">
        <v>9</v>
      </c>
      <c r="E6" s="211"/>
      <c r="F6" s="210"/>
    </row>
    <row r="7" spans="1:6">
      <c r="A7" s="210"/>
      <c r="B7" s="213"/>
      <c r="C7" s="214" t="s">
        <v>146</v>
      </c>
      <c r="D7" s="212" t="s">
        <v>10</v>
      </c>
      <c r="E7" s="211"/>
      <c r="F7" s="210"/>
    </row>
    <row r="8" spans="1:6">
      <c r="A8" s="210"/>
      <c r="B8" s="213"/>
      <c r="C8" s="214" t="s">
        <v>146</v>
      </c>
      <c r="D8" s="212" t="s">
        <v>11</v>
      </c>
      <c r="E8" s="211"/>
      <c r="F8" s="210"/>
    </row>
    <row r="9" spans="1:6">
      <c r="A9" s="210"/>
      <c r="B9" s="213"/>
      <c r="C9" s="214" t="s">
        <v>146</v>
      </c>
      <c r="D9" s="212" t="s">
        <v>152</v>
      </c>
      <c r="E9" s="211"/>
      <c r="F9" s="210"/>
    </row>
    <row r="10" spans="1:6">
      <c r="A10" s="210"/>
      <c r="B10" s="213"/>
      <c r="C10" s="214" t="s">
        <v>147</v>
      </c>
      <c r="D10" s="212" t="s">
        <v>153</v>
      </c>
      <c r="E10" s="211"/>
      <c r="F10" s="210"/>
    </row>
    <row r="11" spans="1:6">
      <c r="A11" s="210"/>
      <c r="B11" s="213"/>
      <c r="C11" s="214" t="s">
        <v>147</v>
      </c>
      <c r="D11" s="212" t="s">
        <v>30</v>
      </c>
      <c r="E11" s="211"/>
      <c r="F11" s="210"/>
    </row>
    <row r="12" spans="1:6">
      <c r="A12" s="210"/>
      <c r="B12" s="213"/>
      <c r="C12" s="214" t="s">
        <v>147</v>
      </c>
      <c r="D12" s="212" t="s">
        <v>31</v>
      </c>
      <c r="E12" s="211"/>
      <c r="F12" s="210"/>
    </row>
    <row r="13" spans="1:6">
      <c r="A13" s="210"/>
      <c r="B13" s="213"/>
      <c r="C13" s="214" t="s">
        <v>147</v>
      </c>
      <c r="D13" s="212" t="s">
        <v>32</v>
      </c>
      <c r="E13" s="211"/>
      <c r="F13" s="210"/>
    </row>
    <row r="14" spans="1:6">
      <c r="A14" s="210"/>
      <c r="B14" s="213"/>
      <c r="C14" s="214" t="s">
        <v>147</v>
      </c>
      <c r="D14" s="212" t="s">
        <v>33</v>
      </c>
      <c r="E14" s="211"/>
      <c r="F14" s="210"/>
    </row>
    <row r="15" spans="1:6">
      <c r="A15" s="210"/>
      <c r="B15" s="213"/>
      <c r="C15" s="214" t="s">
        <v>147</v>
      </c>
      <c r="D15" s="212" t="s">
        <v>33</v>
      </c>
      <c r="E15" s="211"/>
      <c r="F15" s="210"/>
    </row>
    <row r="16" spans="1:6">
      <c r="A16" s="210"/>
      <c r="B16" s="213"/>
      <c r="C16" s="214" t="s">
        <v>147</v>
      </c>
      <c r="D16" s="212" t="s">
        <v>34</v>
      </c>
      <c r="E16" s="211"/>
      <c r="F16" s="210"/>
    </row>
    <row r="17" spans="1:6">
      <c r="A17" s="210"/>
      <c r="B17" s="213"/>
      <c r="C17" s="214" t="s">
        <v>147</v>
      </c>
      <c r="D17" s="212" t="s">
        <v>35</v>
      </c>
      <c r="E17" s="211"/>
      <c r="F17" s="210"/>
    </row>
    <row r="18" spans="1:6">
      <c r="A18" s="210"/>
      <c r="B18" s="213"/>
      <c r="C18" s="214" t="s">
        <v>147</v>
      </c>
      <c r="D18" s="212" t="s">
        <v>36</v>
      </c>
      <c r="E18" s="211"/>
      <c r="F18" s="210"/>
    </row>
    <row r="19" spans="1:6">
      <c r="A19" s="210"/>
      <c r="B19" s="213"/>
      <c r="C19" s="212" t="s">
        <v>148</v>
      </c>
      <c r="D19" s="212" t="s">
        <v>38</v>
      </c>
      <c r="E19" s="211"/>
      <c r="F19" s="210"/>
    </row>
    <row r="20" spans="1:6">
      <c r="A20" s="210"/>
      <c r="B20" s="213"/>
      <c r="C20" s="212" t="s">
        <v>148</v>
      </c>
      <c r="D20" s="212" t="s">
        <v>39</v>
      </c>
      <c r="E20" s="211"/>
      <c r="F20" s="210"/>
    </row>
    <row r="21" spans="1:6">
      <c r="A21" s="210"/>
      <c r="B21" s="213"/>
      <c r="C21" s="212" t="s">
        <v>148</v>
      </c>
      <c r="D21" s="212" t="s">
        <v>42</v>
      </c>
      <c r="E21" s="211"/>
      <c r="F21" s="210"/>
    </row>
    <row r="22" spans="1:6">
      <c r="A22" s="210"/>
      <c r="B22" s="213"/>
      <c r="C22" s="212" t="s">
        <v>148</v>
      </c>
      <c r="D22" s="212" t="s">
        <v>43</v>
      </c>
      <c r="E22" s="211"/>
      <c r="F22" s="210"/>
    </row>
    <row r="23" spans="1:6">
      <c r="A23" s="210"/>
      <c r="B23" s="213"/>
      <c r="C23" s="212" t="s">
        <v>148</v>
      </c>
      <c r="D23" s="212" t="s">
        <v>46</v>
      </c>
      <c r="E23" s="211"/>
      <c r="F23" s="210"/>
    </row>
    <row r="24" spans="1:6">
      <c r="A24" s="210"/>
      <c r="B24" s="213"/>
      <c r="C24" s="212" t="s">
        <v>148</v>
      </c>
      <c r="D24" s="212" t="s">
        <v>47</v>
      </c>
      <c r="E24" s="211"/>
      <c r="F24" s="210"/>
    </row>
    <row r="25" spans="1:6">
      <c r="A25" s="210"/>
      <c r="B25" s="213"/>
      <c r="C25" s="212" t="s">
        <v>148</v>
      </c>
      <c r="D25" s="212" t="s">
        <v>49</v>
      </c>
      <c r="E25" s="211"/>
      <c r="F25" s="210"/>
    </row>
    <row r="26" spans="1:6">
      <c r="A26" s="210"/>
      <c r="B26" s="213"/>
      <c r="C26" s="212" t="s">
        <v>148</v>
      </c>
      <c r="D26" s="212" t="s">
        <v>50</v>
      </c>
      <c r="E26" s="211"/>
      <c r="F26" s="210"/>
    </row>
    <row r="27" spans="1:6">
      <c r="A27" s="210"/>
      <c r="B27" s="213"/>
      <c r="C27" s="212" t="s">
        <v>148</v>
      </c>
      <c r="D27" s="212" t="s">
        <v>53</v>
      </c>
      <c r="E27" s="211"/>
      <c r="F27" s="210"/>
    </row>
    <row r="28" spans="1:6">
      <c r="A28" s="210"/>
      <c r="B28" s="213"/>
      <c r="C28" s="212" t="s">
        <v>148</v>
      </c>
      <c r="D28" s="212" t="s">
        <v>56</v>
      </c>
      <c r="E28" s="211"/>
      <c r="F28" s="210"/>
    </row>
    <row r="29" spans="1:6">
      <c r="A29" s="210"/>
      <c r="B29" s="213"/>
      <c r="C29" s="212" t="s">
        <v>148</v>
      </c>
      <c r="D29" s="212" t="s">
        <v>57</v>
      </c>
      <c r="E29" s="211"/>
      <c r="F29" s="210"/>
    </row>
    <row r="30" spans="1:6">
      <c r="A30" s="210"/>
      <c r="B30" s="213"/>
      <c r="C30" s="212" t="s">
        <v>148</v>
      </c>
      <c r="D30" s="212" t="s">
        <v>58</v>
      </c>
      <c r="E30" s="211"/>
      <c r="F30" s="210"/>
    </row>
    <row r="31" spans="1:6">
      <c r="A31" s="210"/>
      <c r="B31" s="213"/>
      <c r="C31" s="212" t="s">
        <v>148</v>
      </c>
      <c r="D31" s="212" t="s">
        <v>59</v>
      </c>
      <c r="E31" s="211"/>
      <c r="F31" s="210"/>
    </row>
    <row r="32" spans="1:6">
      <c r="A32" s="210"/>
      <c r="B32" s="213"/>
      <c r="C32" s="212" t="s">
        <v>149</v>
      </c>
      <c r="D32" s="212" t="s">
        <v>40</v>
      </c>
      <c r="E32" s="211"/>
      <c r="F32" s="210"/>
    </row>
    <row r="33" spans="1:6">
      <c r="A33" s="210"/>
      <c r="B33" s="213"/>
      <c r="C33" s="212" t="s">
        <v>149</v>
      </c>
      <c r="D33" s="212" t="s">
        <v>41</v>
      </c>
      <c r="E33" s="211"/>
      <c r="F33" s="210"/>
    </row>
    <row r="34" spans="1:6">
      <c r="A34" s="210"/>
      <c r="B34" s="213"/>
      <c r="C34" s="212" t="s">
        <v>149</v>
      </c>
      <c r="D34" s="212" t="s">
        <v>45</v>
      </c>
      <c r="E34" s="211"/>
      <c r="F34" s="210"/>
    </row>
    <row r="35" spans="1:6">
      <c r="A35" s="210"/>
      <c r="B35" s="213"/>
      <c r="C35" s="212" t="s">
        <v>149</v>
      </c>
      <c r="D35" s="212" t="s">
        <v>51</v>
      </c>
      <c r="E35" s="211"/>
      <c r="F35" s="210"/>
    </row>
    <row r="36" spans="1:6">
      <c r="A36" s="210"/>
      <c r="B36" s="213"/>
      <c r="C36" s="212" t="s">
        <v>21</v>
      </c>
      <c r="D36" s="212" t="s">
        <v>75</v>
      </c>
      <c r="E36" s="211"/>
      <c r="F36" s="210"/>
    </row>
    <row r="37" spans="1:6">
      <c r="A37" s="210"/>
      <c r="B37" s="213"/>
      <c r="C37" s="212" t="s">
        <v>21</v>
      </c>
      <c r="D37" s="212" t="s">
        <v>23</v>
      </c>
      <c r="E37" s="211"/>
      <c r="F37" s="210"/>
    </row>
    <row r="38" spans="1:6">
      <c r="A38" s="210"/>
      <c r="B38" s="213"/>
      <c r="C38" s="212" t="s">
        <v>21</v>
      </c>
      <c r="D38" s="212" t="s">
        <v>26</v>
      </c>
      <c r="E38" s="211"/>
      <c r="F38" s="210"/>
    </row>
    <row r="39" spans="1:6">
      <c r="A39" s="210"/>
      <c r="B39" s="213"/>
      <c r="C39" s="212" t="s">
        <v>21</v>
      </c>
      <c r="D39" s="212" t="s">
        <v>76</v>
      </c>
      <c r="E39" s="211"/>
      <c r="F39" s="210"/>
    </row>
    <row r="40" spans="1:6">
      <c r="A40" s="210"/>
      <c r="B40" s="213"/>
      <c r="C40" s="212" t="s">
        <v>21</v>
      </c>
      <c r="D40" s="212" t="s">
        <v>28</v>
      </c>
      <c r="E40" s="211"/>
      <c r="F40" s="210"/>
    </row>
    <row r="41" spans="1:6">
      <c r="A41" s="210"/>
      <c r="B41" s="213"/>
      <c r="C41" s="212" t="s">
        <v>21</v>
      </c>
      <c r="D41" s="212" t="s">
        <v>154</v>
      </c>
      <c r="E41" s="211"/>
      <c r="F41" s="210"/>
    </row>
    <row r="42" spans="1:6">
      <c r="A42" s="210"/>
      <c r="B42" s="213"/>
      <c r="C42" s="212" t="s">
        <v>150</v>
      </c>
      <c r="D42" s="212" t="s">
        <v>15</v>
      </c>
      <c r="E42" s="211"/>
      <c r="F42" s="210"/>
    </row>
    <row r="43" spans="1:6">
      <c r="A43" s="210"/>
      <c r="B43" s="213"/>
      <c r="C43" s="212" t="s">
        <v>150</v>
      </c>
      <c r="D43" s="212" t="s">
        <v>16</v>
      </c>
      <c r="E43" s="211"/>
      <c r="F43" s="210"/>
    </row>
    <row r="44" spans="1:6">
      <c r="A44" s="210"/>
      <c r="B44" s="213"/>
      <c r="C44" s="212" t="s">
        <v>150</v>
      </c>
      <c r="D44" s="212" t="s">
        <v>17</v>
      </c>
      <c r="E44" s="211"/>
      <c r="F44" s="210"/>
    </row>
    <row r="45" spans="1:6">
      <c r="A45" s="210"/>
      <c r="B45" s="213"/>
      <c r="C45" s="212" t="s">
        <v>150</v>
      </c>
      <c r="D45" s="212" t="s">
        <v>19</v>
      </c>
      <c r="E45" s="211"/>
      <c r="F45" s="210"/>
    </row>
    <row r="46" spans="1:6">
      <c r="A46" s="210"/>
      <c r="B46" s="213"/>
      <c r="C46" s="212" t="s">
        <v>150</v>
      </c>
      <c r="D46" s="212" t="s">
        <v>20</v>
      </c>
      <c r="E46" s="211"/>
      <c r="F46" s="210"/>
    </row>
    <row r="47" spans="1:6">
      <c r="A47" s="210"/>
      <c r="B47" s="213"/>
      <c r="C47" s="212" t="s">
        <v>64</v>
      </c>
      <c r="D47" s="212"/>
      <c r="E47" s="211"/>
      <c r="F47" s="210"/>
    </row>
    <row r="48" spans="1:6">
      <c r="A48" s="210"/>
      <c r="B48" s="213"/>
      <c r="C48" s="212" t="s">
        <v>151</v>
      </c>
      <c r="D48" s="212"/>
      <c r="E48" s="211"/>
      <c r="F48" s="210"/>
    </row>
    <row r="49" spans="1:6">
      <c r="A49" s="210"/>
      <c r="B49" s="210"/>
      <c r="C49" s="210"/>
      <c r="D49" s="210"/>
      <c r="E49" s="210"/>
      <c r="F49" s="210"/>
    </row>
    <row r="50" spans="1:6">
      <c r="A50" s="210"/>
      <c r="B50" s="210"/>
      <c r="C50" s="210"/>
      <c r="D50" s="210"/>
      <c r="E50" s="210"/>
      <c r="F50" s="210"/>
    </row>
    <row r="51" spans="1:6">
      <c r="A51" s="210"/>
      <c r="B51" s="210"/>
      <c r="C51" s="210"/>
      <c r="D51" s="210"/>
      <c r="E51" s="210"/>
      <c r="F51" s="210"/>
    </row>
    <row r="52" spans="1:6">
      <c r="A52" s="210"/>
      <c r="B52" s="210"/>
      <c r="C52" s="210"/>
      <c r="D52" s="210"/>
      <c r="E52" s="210"/>
      <c r="F52" s="210"/>
    </row>
    <row r="53" spans="1:6">
      <c r="A53" s="210"/>
      <c r="B53" s="210"/>
      <c r="C53" s="210"/>
      <c r="D53" s="210"/>
      <c r="E53" s="210"/>
      <c r="F53" s="2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2A47C-1064-4C4E-A652-BFBFC1A2A7B6}">
  <dimension ref="B1:P995"/>
  <sheetViews>
    <sheetView showGridLines="0" workbookViewId="0">
      <selection activeCell="C13" sqref="C13"/>
    </sheetView>
  </sheetViews>
  <sheetFormatPr defaultColWidth="12.6328125" defaultRowHeight="15" customHeight="1" outlineLevelCol="1"/>
  <cols>
    <col min="1" max="1" width="3" customWidth="1"/>
    <col min="2" max="2" width="4.90625" hidden="1" customWidth="1"/>
    <col min="3" max="4" width="34.7265625" customWidth="1"/>
    <col min="5" max="5" width="18.26953125" customWidth="1"/>
    <col min="6" max="6" width="1.6328125" customWidth="1"/>
    <col min="7" max="7" width="18.6328125" hidden="1" customWidth="1" outlineLevel="1"/>
    <col min="8" max="11" width="8.6328125" hidden="1" customWidth="1" outlineLevel="1"/>
    <col min="12" max="12" width="8.6328125" customWidth="1" collapsed="1"/>
    <col min="13" max="16" width="8.6328125" customWidth="1"/>
  </cols>
  <sheetData>
    <row r="1" spans="2:16" ht="14.5">
      <c r="D1" s="1"/>
      <c r="E1" s="2"/>
    </row>
    <row r="2" spans="2:16" ht="14.5">
      <c r="C2" s="3" t="s">
        <v>0</v>
      </c>
      <c r="D2" s="4" t="s">
        <v>1</v>
      </c>
      <c r="E2" s="2"/>
    </row>
    <row r="3" spans="2:16" ht="14.5">
      <c r="C3" s="5"/>
      <c r="E3" s="2"/>
    </row>
    <row r="4" spans="2:16" ht="14.5">
      <c r="C4" s="6">
        <f>SUMIFS(E17:E89, D17:D89, "&lt;=14")</f>
        <v>1986.06</v>
      </c>
      <c r="D4" s="7" t="s">
        <v>2</v>
      </c>
      <c r="E4" s="2"/>
    </row>
    <row r="5" spans="2:16" ht="14.5">
      <c r="C5" s="6">
        <f>SUMIFS(E17:E89, D17:D89, "&gt;=15")</f>
        <v>2449.61</v>
      </c>
      <c r="D5" s="7" t="s">
        <v>3</v>
      </c>
      <c r="E5" s="2"/>
    </row>
    <row r="6" spans="2:16" ht="14.5">
      <c r="D6" s="1"/>
    </row>
    <row r="7" spans="2:16" ht="21">
      <c r="C7" s="8" t="s">
        <v>4</v>
      </c>
      <c r="D7" s="9" t="s">
        <v>5</v>
      </c>
      <c r="E7" s="8" t="s">
        <v>6</v>
      </c>
      <c r="G7" s="35" t="s">
        <v>78</v>
      </c>
      <c r="H7" s="36" t="s">
        <v>4</v>
      </c>
      <c r="I7" s="36" t="s">
        <v>5</v>
      </c>
      <c r="J7" s="36" t="s">
        <v>6</v>
      </c>
      <c r="K7" s="35" t="s">
        <v>79</v>
      </c>
    </row>
    <row r="8" spans="2:16" ht="14.5">
      <c r="B8" s="10" t="b">
        <f t="shared" ref="B8:B17" si="0">IFERROR(NOT(ISBLANK(D8)), FALSE)</f>
        <v>1</v>
      </c>
      <c r="C8" s="10" t="s">
        <v>9</v>
      </c>
      <c r="D8" s="1">
        <v>15</v>
      </c>
      <c r="E8" s="29">
        <v>3205.07</v>
      </c>
      <c r="G8" s="10" t="b">
        <f t="shared" ref="G8:G96" si="1">NOT(ISBLANK(D8))</f>
        <v>1</v>
      </c>
      <c r="H8" s="10" t="str">
        <f ca="1">IFERROR(__xludf.DUMMYFUNCTION("FILTER($C$8:$E$96, $G8:$G$96)"),"CVS Income")</f>
        <v>CVS Income</v>
      </c>
      <c r="I8" s="10">
        <f ca="1">IFERROR(__xludf.DUMMYFUNCTION("""COMPUTED_VALUE"""),15)</f>
        <v>15</v>
      </c>
      <c r="J8" s="25">
        <f ca="1">IFERROR(__xludf.DUMMYFUNCTION("""COMPUTED_VALUE"""),3205.07)</f>
        <v>3205.07</v>
      </c>
      <c r="K8" s="10" t="b">
        <f t="shared" ref="K8:K96" ca="1" si="2">NOT(ISBLANK(H8))</f>
        <v>1</v>
      </c>
    </row>
    <row r="9" spans="2:16" ht="14.5">
      <c r="B9" s="10" t="b">
        <f t="shared" si="0"/>
        <v>1</v>
      </c>
      <c r="C9" s="10" t="s">
        <v>9</v>
      </c>
      <c r="D9" s="1">
        <v>30</v>
      </c>
      <c r="E9" s="29">
        <v>3205.07</v>
      </c>
      <c r="G9" s="10" t="b">
        <f t="shared" si="1"/>
        <v>1</v>
      </c>
      <c r="H9" s="10" t="str">
        <f ca="1">IFERROR(__xludf.DUMMYFUNCTION("""COMPUTED_VALUE"""),"CVS Income")</f>
        <v>CVS Income</v>
      </c>
      <c r="I9" s="10">
        <f ca="1">IFERROR(__xludf.DUMMYFUNCTION("""COMPUTED_VALUE"""),30)</f>
        <v>30</v>
      </c>
      <c r="J9" s="25">
        <f ca="1">IFERROR(__xludf.DUMMYFUNCTION("""COMPUTED_VALUE"""),3205.07)</f>
        <v>3205.07</v>
      </c>
      <c r="K9" s="10" t="b">
        <f t="shared" ca="1" si="2"/>
        <v>1</v>
      </c>
    </row>
    <row r="10" spans="2:16" ht="14.5">
      <c r="B10" s="10" t="b">
        <f t="shared" si="0"/>
        <v>0</v>
      </c>
      <c r="C10" s="10" t="s">
        <v>10</v>
      </c>
      <c r="D10" s="1"/>
      <c r="E10" s="12"/>
      <c r="G10" s="10" t="b">
        <f t="shared" si="1"/>
        <v>0</v>
      </c>
      <c r="H10" s="10" t="str">
        <f ca="1">IFERROR(__xludf.DUMMYFUNCTION("""COMPUTED_VALUE"""),"BOA Customized Rewards")</f>
        <v>BOA Customized Rewards</v>
      </c>
      <c r="I10" s="10">
        <f ca="1">IFERROR(__xludf.DUMMYFUNCTION("""COMPUTED_VALUE"""),9)</f>
        <v>9</v>
      </c>
      <c r="J10" s="25"/>
      <c r="K10" s="10" t="b">
        <f t="shared" ca="1" si="2"/>
        <v>1</v>
      </c>
    </row>
    <row r="11" spans="2:16" ht="14.5">
      <c r="B11" s="10" t="b">
        <f t="shared" si="0"/>
        <v>0</v>
      </c>
      <c r="C11" s="10" t="s">
        <v>11</v>
      </c>
      <c r="D11" s="1"/>
      <c r="E11" s="12"/>
      <c r="G11" s="10" t="b">
        <f t="shared" si="1"/>
        <v>0</v>
      </c>
      <c r="H11" s="10" t="str">
        <f ca="1">IFERROR(__xludf.DUMMYFUNCTION("""COMPUTED_VALUE"""),"BOA Unlimited Rewards")</f>
        <v>BOA Unlimited Rewards</v>
      </c>
      <c r="I11" s="10">
        <f ca="1">IFERROR(__xludf.DUMMYFUNCTION("""COMPUTED_VALUE"""),4)</f>
        <v>4</v>
      </c>
      <c r="J11" s="25">
        <f ca="1">IFERROR(__xludf.DUMMYFUNCTION("""COMPUTED_VALUE"""),151)</f>
        <v>151</v>
      </c>
      <c r="K11" s="10" t="b">
        <f t="shared" ca="1" si="2"/>
        <v>1</v>
      </c>
    </row>
    <row r="12" spans="2:16" ht="14.5">
      <c r="B12" s="10" t="b">
        <f t="shared" si="0"/>
        <v>0</v>
      </c>
      <c r="C12" s="10" t="s">
        <v>12</v>
      </c>
      <c r="D12" s="1"/>
      <c r="E12" s="29"/>
      <c r="G12" s="10" t="b">
        <f t="shared" si="1"/>
        <v>0</v>
      </c>
      <c r="H12" s="10" t="str">
        <f ca="1">IFERROR(__xludf.DUMMYFUNCTION("""COMPUTED_VALUE"""),"CHASE Freedom")</f>
        <v>CHASE Freedom</v>
      </c>
      <c r="I12" s="10">
        <f ca="1">IFERROR(__xludf.DUMMYFUNCTION("""COMPUTED_VALUE"""),15)</f>
        <v>15</v>
      </c>
      <c r="J12" s="25"/>
      <c r="K12" s="10" t="b">
        <f t="shared" ca="1" si="2"/>
        <v>1</v>
      </c>
    </row>
    <row r="13" spans="2:16" ht="8.25" customHeight="1" thickBot="1">
      <c r="B13" s="10" t="b">
        <f t="shared" si="0"/>
        <v>0</v>
      </c>
      <c r="C13" s="13"/>
      <c r="D13" s="14"/>
      <c r="E13" s="15"/>
      <c r="G13" s="10" t="b">
        <f t="shared" si="1"/>
        <v>0</v>
      </c>
      <c r="H13" s="10" t="str">
        <f ca="1">IFERROR(__xludf.DUMMYFUNCTION("""COMPUTED_VALUE"""),"CITI Diamond Preferred")</f>
        <v>CITI Diamond Preferred</v>
      </c>
      <c r="I13" s="10">
        <f ca="1">IFERROR(__xludf.DUMMYFUNCTION("""COMPUTED_VALUE"""),15)</f>
        <v>15</v>
      </c>
      <c r="J13" s="25">
        <f ca="1">IFERROR(__xludf.DUMMYFUNCTION("""COMPUTED_VALUE"""),120)</f>
        <v>120</v>
      </c>
      <c r="K13" s="10" t="b">
        <f t="shared" ca="1" si="2"/>
        <v>1</v>
      </c>
    </row>
    <row r="14" spans="2:16" ht="24" thickBot="1">
      <c r="B14" s="10" t="b">
        <f t="shared" si="0"/>
        <v>0</v>
      </c>
      <c r="C14" s="17" t="s">
        <v>13</v>
      </c>
      <c r="D14" s="18"/>
      <c r="E14" s="19">
        <f>SUM(E8:E12)</f>
        <v>6410.14</v>
      </c>
      <c r="F14" s="16"/>
      <c r="G14" s="10" t="b">
        <f t="shared" si="1"/>
        <v>0</v>
      </c>
      <c r="H14" s="10" t="str">
        <f ca="1">IFERROR(__xludf.DUMMYFUNCTION("""COMPUTED_VALUE"""),"CITIZENS Clear Value")</f>
        <v>CITIZENS Clear Value</v>
      </c>
      <c r="I14" s="10">
        <f ca="1">IFERROR(__xludf.DUMMYFUNCTION("""COMPUTED_VALUE"""),13)</f>
        <v>13</v>
      </c>
      <c r="J14" s="25">
        <f ca="1">IFERROR(__xludf.DUMMYFUNCTION("""COMPUTED_VALUE"""),64)</f>
        <v>64</v>
      </c>
      <c r="K14" s="10" t="b">
        <f t="shared" ca="1" si="2"/>
        <v>1</v>
      </c>
      <c r="L14" s="16"/>
      <c r="M14" s="16"/>
      <c r="N14" s="16"/>
      <c r="O14" s="16"/>
      <c r="P14" s="16"/>
    </row>
    <row r="15" spans="2:16" ht="8.25" customHeight="1" thickBot="1">
      <c r="B15" s="10" t="b">
        <f t="shared" si="0"/>
        <v>0</v>
      </c>
      <c r="C15" s="13"/>
      <c r="D15" s="14"/>
      <c r="E15" s="15"/>
      <c r="G15" s="10" t="b">
        <f t="shared" si="1"/>
        <v>0</v>
      </c>
      <c r="H15" s="10" t="str">
        <f ca="1">IFERROR(__xludf.DUMMYFUNCTION("""COMPUTED_VALUE"""),"CITIZENS HELOC")</f>
        <v>CITIZENS HELOC</v>
      </c>
      <c r="I15" s="10">
        <f ca="1">IFERROR(__xludf.DUMMYFUNCTION("""COMPUTED_VALUE"""),15)</f>
        <v>15</v>
      </c>
      <c r="J15" s="25">
        <f ca="1">IFERROR(__xludf.DUMMYFUNCTION("""COMPUTED_VALUE"""),95.95)</f>
        <v>95.95</v>
      </c>
      <c r="K15" s="10" t="b">
        <f t="shared" ca="1" si="2"/>
        <v>1</v>
      </c>
    </row>
    <row r="16" spans="2:16" ht="19" thickBot="1">
      <c r="B16" s="10" t="b">
        <f t="shared" si="0"/>
        <v>0</v>
      </c>
      <c r="C16" s="105" t="s">
        <v>14</v>
      </c>
      <c r="D16" s="106"/>
      <c r="E16" s="106"/>
      <c r="G16" s="10" t="b">
        <f t="shared" si="1"/>
        <v>0</v>
      </c>
      <c r="H16" s="10" t="str">
        <f ca="1">IFERROR(__xludf.DUMMYFUNCTION("""COMPUTED_VALUE"""),"UPSTART Debt Consolidation")</f>
        <v>UPSTART Debt Consolidation</v>
      </c>
      <c r="I16" s="10">
        <f ca="1">IFERROR(__xludf.DUMMYFUNCTION("""COMPUTED_VALUE"""),15)</f>
        <v>15</v>
      </c>
      <c r="J16" s="25">
        <f ca="1">IFERROR(__xludf.DUMMYFUNCTION("""COMPUTED_VALUE"""),181.13)</f>
        <v>181.13</v>
      </c>
      <c r="K16" s="10" t="b">
        <f t="shared" ca="1" si="2"/>
        <v>1</v>
      </c>
    </row>
    <row r="17" spans="2:11" ht="15.75" customHeight="1">
      <c r="B17" s="10" t="b">
        <f t="shared" si="0"/>
        <v>1</v>
      </c>
      <c r="C17" s="10" t="s">
        <v>15</v>
      </c>
      <c r="D17" s="1">
        <v>9</v>
      </c>
      <c r="E17" s="2"/>
      <c r="G17" s="10" t="b">
        <f t="shared" si="1"/>
        <v>1</v>
      </c>
      <c r="H17" s="10" t="str">
        <f ca="1">IFERROR(__xludf.DUMMYFUNCTION("""COMPUTED_VALUE"""),"AQUA FINANCE Roofing Replacement")</f>
        <v>AQUA FINANCE Roofing Replacement</v>
      </c>
      <c r="I17" s="10">
        <f ca="1">IFERROR(__xludf.DUMMYFUNCTION("""COMPUTED_VALUE"""),6)</f>
        <v>6</v>
      </c>
      <c r="J17" s="25">
        <f ca="1">IFERROR(__xludf.DUMMYFUNCTION("""COMPUTED_VALUE"""),268.44)</f>
        <v>268.44</v>
      </c>
      <c r="K17" s="10" t="b">
        <f t="shared" ca="1" si="2"/>
        <v>1</v>
      </c>
    </row>
    <row r="18" spans="2:11" ht="15.75" customHeight="1">
      <c r="C18" s="10" t="s">
        <v>16</v>
      </c>
      <c r="D18" s="1">
        <v>4</v>
      </c>
      <c r="E18" s="29">
        <v>151</v>
      </c>
      <c r="G18" s="10" t="b">
        <f t="shared" si="1"/>
        <v>1</v>
      </c>
      <c r="H18" s="10" t="str">
        <f ca="1">IFERROR(__xludf.DUMMYFUNCTION("""COMPUTED_VALUE"""),"TD Auto Loan")</f>
        <v>TD Auto Loan</v>
      </c>
      <c r="I18" s="10">
        <f ca="1">IFERROR(__xludf.DUMMYFUNCTION("""COMPUTED_VALUE"""),17)</f>
        <v>17</v>
      </c>
      <c r="J18" s="25">
        <f ca="1">IFERROR(__xludf.DUMMYFUNCTION("""COMPUTED_VALUE"""),595)</f>
        <v>595</v>
      </c>
      <c r="K18" s="10" t="b">
        <f t="shared" ca="1" si="2"/>
        <v>1</v>
      </c>
    </row>
    <row r="19" spans="2:11" ht="15.75" customHeight="1">
      <c r="C19" s="10" t="s">
        <v>17</v>
      </c>
      <c r="D19" s="1">
        <v>15</v>
      </c>
      <c r="E19" s="2"/>
      <c r="G19" s="10" t="b">
        <f t="shared" si="1"/>
        <v>1</v>
      </c>
      <c r="H19" s="10" t="str">
        <f ca="1">IFERROR(__xludf.DUMMYFUNCTION("""COMPUTED_VALUE"""),"Owner Contribution to Mortgage")</f>
        <v>Owner Contribution to Mortgage</v>
      </c>
      <c r="I19" s="10">
        <f ca="1">IFERROR(__xludf.DUMMYFUNCTION("""COMPUTED_VALUE"""),1)</f>
        <v>1</v>
      </c>
      <c r="J19" s="25">
        <f ca="1">IFERROR(__xludf.DUMMYFUNCTION("""COMPUTED_VALUE"""),146.54)</f>
        <v>146.54</v>
      </c>
      <c r="K19" s="10" t="b">
        <f t="shared" ca="1" si="2"/>
        <v>1</v>
      </c>
    </row>
    <row r="20" spans="2:11" ht="15.75" customHeight="1">
      <c r="C20" s="10" t="s">
        <v>19</v>
      </c>
      <c r="D20" s="1">
        <v>15</v>
      </c>
      <c r="E20" s="2">
        <v>120</v>
      </c>
      <c r="G20" s="10" t="b">
        <f t="shared" si="1"/>
        <v>1</v>
      </c>
      <c r="H20" s="10" t="str">
        <f ca="1">IFERROR(__xludf.DUMMYFUNCTION("""COMPUTED_VALUE"""),"Landlord Electricity")</f>
        <v>Landlord Electricity</v>
      </c>
      <c r="I20" s="10">
        <f ca="1">IFERROR(__xludf.DUMMYFUNCTION("""COMPUTED_VALUE"""),1)</f>
        <v>1</v>
      </c>
      <c r="J20" s="25">
        <f ca="1">IFERROR(__xludf.DUMMYFUNCTION("""COMPUTED_VALUE"""),33.16)</f>
        <v>33.159999999999997</v>
      </c>
      <c r="K20" s="10" t="b">
        <f t="shared" ca="1" si="2"/>
        <v>1</v>
      </c>
    </row>
    <row r="21" spans="2:11" ht="15.75" customHeight="1">
      <c r="B21" s="10" t="b">
        <f t="shared" ref="B21:B24" si="3">IFERROR(NOT(ISBLANK(D21)), FALSE)</f>
        <v>1</v>
      </c>
      <c r="C21" s="10" t="s">
        <v>20</v>
      </c>
      <c r="D21" s="1">
        <v>13</v>
      </c>
      <c r="E21" s="2">
        <v>64</v>
      </c>
      <c r="G21" s="10" t="b">
        <f t="shared" si="1"/>
        <v>1</v>
      </c>
      <c r="H21" s="10" t="str">
        <f ca="1">IFERROR(__xludf.DUMMYFUNCTION("""COMPUTED_VALUE"""),"Maintenance (Lawn)")</f>
        <v>Maintenance (Lawn)</v>
      </c>
      <c r="I21" s="10">
        <f ca="1">IFERROR(__xludf.DUMMYFUNCTION("""COMPUTED_VALUE"""),10)</f>
        <v>10</v>
      </c>
      <c r="J21" s="25">
        <f ca="1">IFERROR(__xludf.DUMMYFUNCTION("""COMPUTED_VALUE"""),80)</f>
        <v>80</v>
      </c>
      <c r="K21" s="10" t="b">
        <f t="shared" ca="1" si="2"/>
        <v>1</v>
      </c>
    </row>
    <row r="22" spans="2:11" ht="8.25" customHeight="1" thickBot="1">
      <c r="B22" s="10" t="b">
        <f t="shared" si="3"/>
        <v>0</v>
      </c>
      <c r="C22" s="13"/>
      <c r="D22" s="14"/>
      <c r="E22" s="15"/>
      <c r="G22" s="10" t="b">
        <f t="shared" si="1"/>
        <v>0</v>
      </c>
      <c r="H22" s="10" t="str">
        <f ca="1">IFERROR(__xludf.DUMMYFUNCTION("""COMPUTED_VALUE"""),"Maintenance (Lawn)")</f>
        <v>Maintenance (Lawn)</v>
      </c>
      <c r="I22" s="10">
        <f ca="1">IFERROR(__xludf.DUMMYFUNCTION("""COMPUTED_VALUE"""),24)</f>
        <v>24</v>
      </c>
      <c r="J22" s="25">
        <f ca="1">IFERROR(__xludf.DUMMYFUNCTION("""COMPUTED_VALUE"""),80)</f>
        <v>80</v>
      </c>
      <c r="K22" s="10" t="b">
        <f t="shared" ca="1" si="2"/>
        <v>1</v>
      </c>
    </row>
    <row r="23" spans="2:11" ht="15.75" customHeight="1" thickBot="1">
      <c r="B23" s="10" t="b">
        <f t="shared" si="3"/>
        <v>0</v>
      </c>
      <c r="C23" s="105" t="s">
        <v>21</v>
      </c>
      <c r="D23" s="106"/>
      <c r="E23" s="106"/>
      <c r="G23" s="10" t="b">
        <f t="shared" si="1"/>
        <v>0</v>
      </c>
      <c r="H23" s="10" t="str">
        <f ca="1">IFERROR(__xludf.DUMMYFUNCTION("""COMPUTED_VALUE"""),"Blink Security")</f>
        <v>Blink Security</v>
      </c>
      <c r="I23" s="10">
        <f ca="1">IFERROR(__xludf.DUMMYFUNCTION("""COMPUTED_VALUE"""),1)</f>
        <v>1</v>
      </c>
      <c r="J23" s="25">
        <f ca="1">IFERROR(__xludf.DUMMYFUNCTION("""COMPUTED_VALUE"""),10.64)</f>
        <v>10.64</v>
      </c>
      <c r="K23" s="10" t="b">
        <f t="shared" ca="1" si="2"/>
        <v>1</v>
      </c>
    </row>
    <row r="24" spans="2:11" ht="15.75" customHeight="1">
      <c r="B24" s="10" t="b">
        <f t="shared" si="3"/>
        <v>1</v>
      </c>
      <c r="C24" s="24" t="s">
        <v>75</v>
      </c>
      <c r="D24" s="31">
        <v>15</v>
      </c>
      <c r="E24" s="37">
        <v>380</v>
      </c>
      <c r="G24" s="10" t="b">
        <f t="shared" si="1"/>
        <v>1</v>
      </c>
      <c r="H24" s="10" t="str">
        <f ca="1">IFERROR(__xludf.DUMMYFUNCTION("""COMPUTED_VALUE"""),"Avail Portal")</f>
        <v>Avail Portal</v>
      </c>
      <c r="I24" s="10">
        <f ca="1">IFERROR(__xludf.DUMMYFUNCTION("""COMPUTED_VALUE"""),1)</f>
        <v>1</v>
      </c>
      <c r="J24" s="25">
        <f ca="1">IFERROR(__xludf.DUMMYFUNCTION("""COMPUTED_VALUE"""),18)</f>
        <v>18</v>
      </c>
      <c r="K24" s="10" t="b">
        <f t="shared" ca="1" si="2"/>
        <v>1</v>
      </c>
    </row>
    <row r="25" spans="2:11" ht="15.75" customHeight="1">
      <c r="C25" s="10" t="s">
        <v>23</v>
      </c>
      <c r="D25" s="1">
        <v>15</v>
      </c>
      <c r="E25" s="2">
        <v>181.13</v>
      </c>
      <c r="G25" s="10" t="b">
        <f t="shared" si="1"/>
        <v>1</v>
      </c>
      <c r="H25" s="10" t="str">
        <f ca="1">IFERROR(__xludf.DUMMYFUNCTION("""COMPUTED_VALUE"""),"Auto Insurance")</f>
        <v>Auto Insurance</v>
      </c>
      <c r="I25" s="10">
        <f ca="1">IFERROR(__xludf.DUMMYFUNCTION("""COMPUTED_VALUE"""),4)</f>
        <v>4</v>
      </c>
      <c r="J25" s="25">
        <f ca="1">IFERROR(__xludf.DUMMYFUNCTION("""COMPUTED_VALUE"""),353.71)</f>
        <v>353.71</v>
      </c>
      <c r="K25" s="10" t="b">
        <f t="shared" ca="1" si="2"/>
        <v>1</v>
      </c>
    </row>
    <row r="26" spans="2:11" ht="15.75" customHeight="1">
      <c r="C26" s="38" t="s">
        <v>26</v>
      </c>
      <c r="D26" s="39">
        <v>6</v>
      </c>
      <c r="E26" s="40">
        <v>268.44</v>
      </c>
      <c r="G26" s="10" t="b">
        <f t="shared" si="1"/>
        <v>1</v>
      </c>
      <c r="H26" s="10" t="str">
        <f ca="1">IFERROR(__xludf.DUMMYFUNCTION("""COMPUTED_VALUE"""),"Heating/Natural Gas")</f>
        <v>Heating/Natural Gas</v>
      </c>
      <c r="I26" s="10">
        <f ca="1">IFERROR(__xludf.DUMMYFUNCTION("""COMPUTED_VALUE"""),15)</f>
        <v>15</v>
      </c>
      <c r="J26" s="25">
        <f ca="1">IFERROR(__xludf.DUMMYFUNCTION("""COMPUTED_VALUE"""),175)</f>
        <v>175</v>
      </c>
      <c r="K26" s="10" t="b">
        <f t="shared" ca="1" si="2"/>
        <v>1</v>
      </c>
    </row>
    <row r="27" spans="2:11" ht="15.75" customHeight="1">
      <c r="B27" s="10" t="b">
        <f t="shared" ref="B27:B80" si="4">IFERROR(NOT(ISBLANK(D27)), FALSE)</f>
        <v>1</v>
      </c>
      <c r="C27" s="41" t="s">
        <v>76</v>
      </c>
      <c r="D27" s="42">
        <v>17</v>
      </c>
      <c r="E27" s="43">
        <v>595</v>
      </c>
      <c r="G27" s="10" t="b">
        <f t="shared" si="1"/>
        <v>1</v>
      </c>
      <c r="H27" s="10" t="str">
        <f ca="1">IFERROR(__xludf.DUMMYFUNCTION("""COMPUTED_VALUE"""),"Electricity")</f>
        <v>Electricity</v>
      </c>
      <c r="I27" s="10">
        <f ca="1">IFERROR(__xludf.DUMMYFUNCTION("""COMPUTED_VALUE"""),1)</f>
        <v>1</v>
      </c>
      <c r="J27" s="25">
        <f ca="1">IFERROR(__xludf.DUMMYFUNCTION("""COMPUTED_VALUE"""),192.43)</f>
        <v>192.43</v>
      </c>
      <c r="K27" s="10" t="b">
        <f t="shared" ca="1" si="2"/>
        <v>1</v>
      </c>
    </row>
    <row r="28" spans="2:11" ht="15.75" customHeight="1">
      <c r="B28" s="10" t="b">
        <f t="shared" si="4"/>
        <v>0</v>
      </c>
      <c r="C28" s="38" t="s">
        <v>28</v>
      </c>
      <c r="D28" s="42"/>
      <c r="E28" s="43"/>
      <c r="G28" s="10" t="b">
        <f t="shared" si="1"/>
        <v>0</v>
      </c>
      <c r="H28" s="10" t="str">
        <f ca="1">IFERROR(__xludf.DUMMYFUNCTION("""COMPUTED_VALUE"""),"Internet")</f>
        <v>Internet</v>
      </c>
      <c r="I28" s="10">
        <f ca="1">IFERROR(__xludf.DUMMYFUNCTION("""COMPUTED_VALUE"""),27)</f>
        <v>27</v>
      </c>
      <c r="J28" s="25">
        <f ca="1">IFERROR(__xludf.DUMMYFUNCTION("""COMPUTED_VALUE"""),74.95)</f>
        <v>74.95</v>
      </c>
      <c r="K28" s="10" t="b">
        <f t="shared" ca="1" si="2"/>
        <v>1</v>
      </c>
    </row>
    <row r="29" spans="2:11" ht="8.25" customHeight="1" thickBot="1">
      <c r="B29" s="10" t="b">
        <f t="shared" si="4"/>
        <v>0</v>
      </c>
      <c r="C29" s="44"/>
      <c r="D29" s="45"/>
      <c r="E29" s="46"/>
      <c r="G29" s="10" t="b">
        <f t="shared" si="1"/>
        <v>0</v>
      </c>
      <c r="H29" s="10" t="str">
        <f ca="1">IFERROR(__xludf.DUMMYFUNCTION("""COMPUTED_VALUE"""),"Life Insurance")</f>
        <v>Life Insurance</v>
      </c>
      <c r="I29" s="10">
        <f ca="1">IFERROR(__xludf.DUMMYFUNCTION("""COMPUTED_VALUE"""),16)</f>
        <v>16</v>
      </c>
      <c r="J29" s="25">
        <f ca="1">IFERROR(__xludf.DUMMYFUNCTION("""COMPUTED_VALUE"""),82.37)</f>
        <v>82.37</v>
      </c>
      <c r="K29" s="10" t="b">
        <f t="shared" ca="1" si="2"/>
        <v>1</v>
      </c>
    </row>
    <row r="30" spans="2:11" ht="15.75" customHeight="1" thickBot="1">
      <c r="B30" s="10" t="b">
        <f t="shared" si="4"/>
        <v>0</v>
      </c>
      <c r="C30" s="107" t="s">
        <v>29</v>
      </c>
      <c r="D30" s="106"/>
      <c r="E30" s="106"/>
      <c r="G30" s="10" t="b">
        <f t="shared" si="1"/>
        <v>0</v>
      </c>
      <c r="H30" s="10" t="str">
        <f ca="1">IFERROR(__xludf.DUMMYFUNCTION("""COMPUTED_VALUE"""),"Groceries + Toiletries")</f>
        <v>Groceries + Toiletries</v>
      </c>
      <c r="I30" s="10">
        <f ca="1">IFERROR(__xludf.DUMMYFUNCTION("""COMPUTED_VALUE"""),3)</f>
        <v>3</v>
      </c>
      <c r="J30" s="25">
        <f ca="1">IFERROR(__xludf.DUMMYFUNCTION("""COMPUTED_VALUE"""),250)</f>
        <v>250</v>
      </c>
      <c r="K30" s="10" t="b">
        <f t="shared" ca="1" si="2"/>
        <v>1</v>
      </c>
    </row>
    <row r="31" spans="2:11" ht="15.75" customHeight="1">
      <c r="B31" s="10" t="b">
        <f t="shared" si="4"/>
        <v>1</v>
      </c>
      <c r="C31" s="38" t="s">
        <v>30</v>
      </c>
      <c r="D31" s="42">
        <v>1</v>
      </c>
      <c r="E31" s="40">
        <v>146.54</v>
      </c>
      <c r="G31" s="10" t="b">
        <f t="shared" si="1"/>
        <v>1</v>
      </c>
      <c r="H31" s="10" t="str">
        <f ca="1">IFERROR(__xludf.DUMMYFUNCTION("""COMPUTED_VALUE"""),"Groceries + Toiletries")</f>
        <v>Groceries + Toiletries</v>
      </c>
      <c r="I31" s="10">
        <f ca="1">IFERROR(__xludf.DUMMYFUNCTION("""COMPUTED_VALUE"""),10)</f>
        <v>10</v>
      </c>
      <c r="J31" s="25">
        <f ca="1">IFERROR(__xludf.DUMMYFUNCTION("""COMPUTED_VALUE"""),250)</f>
        <v>250</v>
      </c>
      <c r="K31" s="10" t="b">
        <f t="shared" ca="1" si="2"/>
        <v>1</v>
      </c>
    </row>
    <row r="32" spans="2:11" ht="15.75" customHeight="1">
      <c r="B32" s="10" t="b">
        <f t="shared" si="4"/>
        <v>1</v>
      </c>
      <c r="C32" s="10" t="s">
        <v>31</v>
      </c>
      <c r="D32" s="31">
        <v>1</v>
      </c>
      <c r="E32" s="2">
        <v>33.159999999999997</v>
      </c>
      <c r="G32" s="10" t="b">
        <f t="shared" si="1"/>
        <v>1</v>
      </c>
      <c r="H32" s="10" t="str">
        <f ca="1">IFERROR(__xludf.DUMMYFUNCTION("""COMPUTED_VALUE"""),"Groceries + Toiletries")</f>
        <v>Groceries + Toiletries</v>
      </c>
      <c r="I32" s="10">
        <f ca="1">IFERROR(__xludf.DUMMYFUNCTION("""COMPUTED_VALUE"""),17)</f>
        <v>17</v>
      </c>
      <c r="J32" s="25">
        <f ca="1">IFERROR(__xludf.DUMMYFUNCTION("""COMPUTED_VALUE"""),250)</f>
        <v>250</v>
      </c>
      <c r="K32" s="10" t="b">
        <f t="shared" ca="1" si="2"/>
        <v>1</v>
      </c>
    </row>
    <row r="33" spans="2:11" ht="15.75" customHeight="1">
      <c r="B33" s="10" t="b">
        <f t="shared" si="4"/>
        <v>0</v>
      </c>
      <c r="C33" s="10" t="s">
        <v>32</v>
      </c>
      <c r="D33" s="1"/>
      <c r="E33" s="2">
        <v>130</v>
      </c>
      <c r="G33" s="10" t="b">
        <f t="shared" si="1"/>
        <v>0</v>
      </c>
      <c r="H33" s="10" t="str">
        <f ca="1">IFERROR(__xludf.DUMMYFUNCTION("""COMPUTED_VALUE"""),"Groceries + Toiletries")</f>
        <v>Groceries + Toiletries</v>
      </c>
      <c r="I33" s="10">
        <f ca="1">IFERROR(__xludf.DUMMYFUNCTION("""COMPUTED_VALUE"""),24)</f>
        <v>24</v>
      </c>
      <c r="J33" s="25">
        <f ca="1">IFERROR(__xludf.DUMMYFUNCTION("""COMPUTED_VALUE"""),250)</f>
        <v>250</v>
      </c>
      <c r="K33" s="10" t="b">
        <f t="shared" ca="1" si="2"/>
        <v>1</v>
      </c>
    </row>
    <row r="34" spans="2:11" ht="15.75" customHeight="1">
      <c r="B34" s="10" t="b">
        <f t="shared" si="4"/>
        <v>1</v>
      </c>
      <c r="C34" s="10" t="s">
        <v>33</v>
      </c>
      <c r="D34" s="31">
        <v>10</v>
      </c>
      <c r="E34" s="2">
        <f t="shared" ref="E34:E35" si="5">IF($D$2="Summer", 80, 0)</f>
        <v>80</v>
      </c>
      <c r="G34" s="10" t="b">
        <f t="shared" si="1"/>
        <v>1</v>
      </c>
      <c r="H34" s="10" t="str">
        <f ca="1">IFERROR(__xludf.DUMMYFUNCTION("""COMPUTED_VALUE"""),"Phone (Nykosi)")</f>
        <v>Phone (Nykosi)</v>
      </c>
      <c r="I34" s="10">
        <f ca="1">IFERROR(__xludf.DUMMYFUNCTION("""COMPUTED_VALUE"""),16)</f>
        <v>16</v>
      </c>
      <c r="J34" s="25">
        <f ca="1">IFERROR(__xludf.DUMMYFUNCTION("""COMPUTED_VALUE"""),30)</f>
        <v>30</v>
      </c>
      <c r="K34" s="10" t="b">
        <f t="shared" ca="1" si="2"/>
        <v>1</v>
      </c>
    </row>
    <row r="35" spans="2:11" ht="15.75" customHeight="1">
      <c r="B35" s="10" t="b">
        <f t="shared" si="4"/>
        <v>1</v>
      </c>
      <c r="C35" s="10" t="s">
        <v>33</v>
      </c>
      <c r="D35" s="31">
        <v>24</v>
      </c>
      <c r="E35" s="2">
        <f t="shared" si="5"/>
        <v>80</v>
      </c>
      <c r="G35" s="10" t="b">
        <f t="shared" si="1"/>
        <v>1</v>
      </c>
      <c r="H35" s="10" t="str">
        <f ca="1">IFERROR(__xludf.DUMMYFUNCTION("""COMPUTED_VALUE"""),"Phone (Brittany)")</f>
        <v>Phone (Brittany)</v>
      </c>
      <c r="I35" s="10">
        <f ca="1">IFERROR(__xludf.DUMMYFUNCTION("""COMPUTED_VALUE"""),16)</f>
        <v>16</v>
      </c>
      <c r="J35" s="25">
        <f ca="1">IFERROR(__xludf.DUMMYFUNCTION("""COMPUTED_VALUE"""),50)</f>
        <v>50</v>
      </c>
      <c r="K35" s="10" t="b">
        <f t="shared" ca="1" si="2"/>
        <v>1</v>
      </c>
    </row>
    <row r="36" spans="2:11" ht="15.75" customHeight="1">
      <c r="B36" s="10" t="b">
        <f t="shared" si="4"/>
        <v>0</v>
      </c>
      <c r="C36" s="10" t="s">
        <v>34</v>
      </c>
      <c r="D36" s="1"/>
      <c r="E36" s="2">
        <f>IF($D$2="Winter", 110, 0)</f>
        <v>0</v>
      </c>
      <c r="G36" s="10" t="b">
        <f t="shared" si="1"/>
        <v>0</v>
      </c>
      <c r="H36" s="10" t="str">
        <f ca="1">IFERROR(__xludf.DUMMYFUNCTION("""COMPUTED_VALUE"""),"Gym Membership (Nykosi)")</f>
        <v>Gym Membership (Nykosi)</v>
      </c>
      <c r="I36" s="10">
        <f ca="1">IFERROR(__xludf.DUMMYFUNCTION("""COMPUTED_VALUE"""),24)</f>
        <v>24</v>
      </c>
      <c r="J36" s="25">
        <f ca="1">IFERROR(__xludf.DUMMYFUNCTION("""COMPUTED_VALUE"""),22.23)</f>
        <v>22.23</v>
      </c>
      <c r="K36" s="10" t="b">
        <f t="shared" ca="1" si="2"/>
        <v>1</v>
      </c>
    </row>
    <row r="37" spans="2:11" ht="15.75" customHeight="1">
      <c r="B37" s="10" t="b">
        <f t="shared" si="4"/>
        <v>1</v>
      </c>
      <c r="C37" s="10" t="s">
        <v>35</v>
      </c>
      <c r="D37" s="31">
        <v>1</v>
      </c>
      <c r="E37" s="2">
        <v>10.64</v>
      </c>
      <c r="G37" s="10" t="b">
        <f t="shared" si="1"/>
        <v>1</v>
      </c>
      <c r="H37" s="10" t="str">
        <f ca="1">IFERROR(__xludf.DUMMYFUNCTION("""COMPUTED_VALUE"""),"Gym Membership (Brittany)")</f>
        <v>Gym Membership (Brittany)</v>
      </c>
      <c r="I37" s="10">
        <f ca="1">IFERROR(__xludf.DUMMYFUNCTION("""COMPUTED_VALUE"""),6)</f>
        <v>6</v>
      </c>
      <c r="J37" s="25">
        <f ca="1">IFERROR(__xludf.DUMMYFUNCTION("""COMPUTED_VALUE"""),32.87)</f>
        <v>32.869999999999997</v>
      </c>
      <c r="K37" s="10" t="b">
        <f t="shared" ca="1" si="2"/>
        <v>1</v>
      </c>
    </row>
    <row r="38" spans="2:11" ht="15.75" customHeight="1">
      <c r="B38" s="10" t="b">
        <f t="shared" si="4"/>
        <v>1</v>
      </c>
      <c r="C38" s="10" t="s">
        <v>36</v>
      </c>
      <c r="D38" s="31">
        <v>1</v>
      </c>
      <c r="E38" s="2">
        <v>18</v>
      </c>
      <c r="G38" s="10" t="b">
        <f t="shared" si="1"/>
        <v>1</v>
      </c>
      <c r="H38" s="10" t="str">
        <f ca="1">IFERROR(__xludf.DUMMYFUNCTION("""COMPUTED_VALUE"""),"Gym Trainer (Brittany)")</f>
        <v>Gym Trainer (Brittany)</v>
      </c>
      <c r="I38" s="10">
        <f ca="1">IFERROR(__xludf.DUMMYFUNCTION("""COMPUTED_VALUE"""),14)</f>
        <v>14</v>
      </c>
      <c r="J38" s="25">
        <f ca="1">IFERROR(__xludf.DUMMYFUNCTION("""COMPUTED_VALUE"""),105.29)</f>
        <v>105.29</v>
      </c>
      <c r="K38" s="10" t="b">
        <f t="shared" ca="1" si="2"/>
        <v>1</v>
      </c>
    </row>
    <row r="39" spans="2:11" ht="8.25" customHeight="1" thickBot="1">
      <c r="B39" s="10" t="b">
        <f t="shared" si="4"/>
        <v>0</v>
      </c>
      <c r="C39" s="13"/>
      <c r="D39" s="14"/>
      <c r="E39" s="15"/>
      <c r="G39" s="10" t="b">
        <f t="shared" si="1"/>
        <v>0</v>
      </c>
      <c r="H39" s="10" t="str">
        <f ca="1">IFERROR(__xludf.DUMMYFUNCTION("""COMPUTED_VALUE"""),"Gym Trainer (Brittany)")</f>
        <v>Gym Trainer (Brittany)</v>
      </c>
      <c r="I39" s="10">
        <f ca="1">IFERROR(__xludf.DUMMYFUNCTION("""COMPUTED_VALUE"""),28)</f>
        <v>28</v>
      </c>
      <c r="J39" s="25">
        <f ca="1">IFERROR(__xludf.DUMMYFUNCTION("""COMPUTED_VALUE"""),105.29)</f>
        <v>105.29</v>
      </c>
      <c r="K39" s="10" t="b">
        <f t="shared" ca="1" si="2"/>
        <v>1</v>
      </c>
    </row>
    <row r="40" spans="2:11" ht="15.75" customHeight="1" thickBot="1">
      <c r="B40" s="10" t="b">
        <f t="shared" si="4"/>
        <v>0</v>
      </c>
      <c r="C40" s="105" t="s">
        <v>37</v>
      </c>
      <c r="D40" s="106"/>
      <c r="E40" s="106"/>
      <c r="G40" s="10" t="b">
        <f t="shared" si="1"/>
        <v>0</v>
      </c>
      <c r="H40" s="10" t="str">
        <f ca="1">IFERROR(__xludf.DUMMYFUNCTION("""COMPUTED_VALUE"""),"Amazon Prime")</f>
        <v>Amazon Prime</v>
      </c>
      <c r="I40" s="10">
        <f ca="1">IFERROR(__xludf.DUMMYFUNCTION("""COMPUTED_VALUE"""),14)</f>
        <v>14</v>
      </c>
      <c r="J40" s="25">
        <f ca="1">IFERROR(__xludf.DUMMYFUNCTION("""COMPUTED_VALUE"""),14.99)</f>
        <v>14.99</v>
      </c>
      <c r="K40" s="10" t="b">
        <f t="shared" ca="1" si="2"/>
        <v>1</v>
      </c>
    </row>
    <row r="41" spans="2:11" ht="15.75" customHeight="1">
      <c r="B41" s="10" t="b">
        <f t="shared" si="4"/>
        <v>1</v>
      </c>
      <c r="C41" s="10" t="s">
        <v>38</v>
      </c>
      <c r="D41" s="31">
        <v>4</v>
      </c>
      <c r="E41" s="29">
        <v>353.71</v>
      </c>
      <c r="G41" s="10" t="b">
        <f t="shared" si="1"/>
        <v>1</v>
      </c>
      <c r="H41" s="10" t="str">
        <f ca="1">IFERROR(__xludf.DUMMYFUNCTION("""COMPUTED_VALUE"""),"Microsoft 365")</f>
        <v>Microsoft 365</v>
      </c>
      <c r="I41" s="10">
        <f ca="1">IFERROR(__xludf.DUMMYFUNCTION("""COMPUTED_VALUE"""),17)</f>
        <v>17</v>
      </c>
      <c r="J41" s="25">
        <f ca="1">IFERROR(__xludf.DUMMYFUNCTION("""COMPUTED_VALUE"""),14.14)</f>
        <v>14.14</v>
      </c>
      <c r="K41" s="10" t="b">
        <f t="shared" ca="1" si="2"/>
        <v>1</v>
      </c>
    </row>
    <row r="42" spans="2:11" ht="15.75" customHeight="1">
      <c r="B42" s="10" t="b">
        <f t="shared" si="4"/>
        <v>0</v>
      </c>
      <c r="C42" s="10" t="s">
        <v>39</v>
      </c>
      <c r="D42" s="1"/>
      <c r="E42" s="2"/>
      <c r="G42" s="10" t="b">
        <f t="shared" si="1"/>
        <v>0</v>
      </c>
      <c r="H42" s="10" t="str">
        <f ca="1">IFERROR(__xludf.DUMMYFUNCTION("""COMPUTED_VALUE"""),"Netflix")</f>
        <v>Netflix</v>
      </c>
      <c r="I42" s="10">
        <f ca="1">IFERROR(__xludf.DUMMYFUNCTION("""COMPUTED_VALUE"""),23)</f>
        <v>23</v>
      </c>
      <c r="J42" s="25">
        <f ca="1">IFERROR(__xludf.DUMMYFUNCTION("""COMPUTED_VALUE"""),19.3)</f>
        <v>19.3</v>
      </c>
      <c r="K42" s="10" t="b">
        <f t="shared" ca="1" si="2"/>
        <v>1</v>
      </c>
    </row>
    <row r="43" spans="2:11" ht="15.75" customHeight="1">
      <c r="B43" s="10" t="b">
        <f t="shared" si="4"/>
        <v>1</v>
      </c>
      <c r="C43" s="10" t="s">
        <v>40</v>
      </c>
      <c r="D43" s="31">
        <v>15</v>
      </c>
      <c r="E43" s="29">
        <v>175</v>
      </c>
      <c r="G43" s="10" t="b">
        <f t="shared" si="1"/>
        <v>1</v>
      </c>
      <c r="H43" s="10" t="str">
        <f ca="1">IFERROR(__xludf.DUMMYFUNCTION("""COMPUTED_VALUE"""),"YNAB ")</f>
        <v xml:space="preserve">YNAB </v>
      </c>
      <c r="I43" s="10">
        <f ca="1">IFERROR(__xludf.DUMMYFUNCTION("""COMPUTED_VALUE"""),9)</f>
        <v>9</v>
      </c>
      <c r="J43" s="25">
        <f ca="1">IFERROR(__xludf.DUMMYFUNCTION("""COMPUTED_VALUE"""),14.99)</f>
        <v>14.99</v>
      </c>
      <c r="K43" s="10" t="b">
        <f t="shared" ca="1" si="2"/>
        <v>1</v>
      </c>
    </row>
    <row r="44" spans="2:11" ht="15.75" customHeight="1">
      <c r="B44" s="10" t="b">
        <f t="shared" si="4"/>
        <v>1</v>
      </c>
      <c r="C44" s="10" t="s">
        <v>41</v>
      </c>
      <c r="D44" s="31">
        <v>1</v>
      </c>
      <c r="E44" s="29">
        <v>192.43</v>
      </c>
      <c r="G44" s="10" t="b">
        <f t="shared" si="1"/>
        <v>1</v>
      </c>
      <c r="H44" s="10" t="str">
        <f ca="1">IFERROR(__xludf.DUMMYFUNCTION("""COMPUTED_VALUE"""),"OpenAI")</f>
        <v>OpenAI</v>
      </c>
      <c r="I44" s="10">
        <f ca="1">IFERROR(__xludf.DUMMYFUNCTION("""COMPUTED_VALUE"""),16)</f>
        <v>16</v>
      </c>
      <c r="J44" s="25">
        <f ca="1">IFERROR(__xludf.DUMMYFUNCTION("""COMPUTED_VALUE"""),20.2)</f>
        <v>20.2</v>
      </c>
      <c r="K44" s="10" t="b">
        <f t="shared" ca="1" si="2"/>
        <v>1</v>
      </c>
    </row>
    <row r="45" spans="2:11" ht="15.75" customHeight="1">
      <c r="B45" s="10" t="b">
        <f t="shared" si="4"/>
        <v>1</v>
      </c>
      <c r="C45" s="10" t="s">
        <v>42</v>
      </c>
      <c r="D45" s="31">
        <v>27</v>
      </c>
      <c r="E45" s="2">
        <v>74.95</v>
      </c>
      <c r="G45" s="10" t="b">
        <f t="shared" si="1"/>
        <v>1</v>
      </c>
      <c r="K45" s="10" t="b">
        <f t="shared" si="2"/>
        <v>0</v>
      </c>
    </row>
    <row r="46" spans="2:11" ht="15.75" customHeight="1">
      <c r="B46" s="10" t="b">
        <f t="shared" si="4"/>
        <v>1</v>
      </c>
      <c r="C46" s="10" t="s">
        <v>43</v>
      </c>
      <c r="D46" s="31">
        <v>16</v>
      </c>
      <c r="E46" s="2">
        <v>82.37</v>
      </c>
      <c r="G46" s="10" t="b">
        <f t="shared" si="1"/>
        <v>1</v>
      </c>
      <c r="K46" s="10" t="b">
        <f t="shared" si="2"/>
        <v>0</v>
      </c>
    </row>
    <row r="47" spans="2:11" ht="8.25" customHeight="1" thickBot="1">
      <c r="B47" s="10" t="b">
        <f t="shared" si="4"/>
        <v>0</v>
      </c>
      <c r="C47" s="13"/>
      <c r="D47" s="14"/>
      <c r="E47" s="15"/>
      <c r="G47" s="10" t="b">
        <f t="shared" si="1"/>
        <v>0</v>
      </c>
      <c r="K47" s="10" t="b">
        <f t="shared" si="2"/>
        <v>0</v>
      </c>
    </row>
    <row r="48" spans="2:11" ht="15.75" customHeight="1" thickBot="1">
      <c r="B48" s="10" t="b">
        <f t="shared" si="4"/>
        <v>0</v>
      </c>
      <c r="C48" s="105" t="s">
        <v>44</v>
      </c>
      <c r="D48" s="106"/>
      <c r="E48" s="106"/>
      <c r="G48" s="10" t="b">
        <f t="shared" si="1"/>
        <v>0</v>
      </c>
      <c r="K48" s="10" t="b">
        <f t="shared" si="2"/>
        <v>0</v>
      </c>
    </row>
    <row r="49" spans="2:11" ht="15.75" customHeight="1">
      <c r="B49" s="10" t="b">
        <f t="shared" si="4"/>
        <v>1</v>
      </c>
      <c r="C49" s="10" t="s">
        <v>45</v>
      </c>
      <c r="D49" s="31">
        <v>3</v>
      </c>
      <c r="E49" s="29">
        <v>250</v>
      </c>
      <c r="G49" s="10" t="b">
        <f t="shared" si="1"/>
        <v>1</v>
      </c>
      <c r="K49" s="10" t="b">
        <f t="shared" si="2"/>
        <v>0</v>
      </c>
    </row>
    <row r="50" spans="2:11" ht="15.75" customHeight="1">
      <c r="B50" s="10" t="b">
        <f t="shared" si="4"/>
        <v>1</v>
      </c>
      <c r="C50" s="10" t="s">
        <v>45</v>
      </c>
      <c r="D50" s="31">
        <v>10</v>
      </c>
      <c r="E50" s="29">
        <v>250</v>
      </c>
      <c r="G50" s="10" t="b">
        <f t="shared" si="1"/>
        <v>1</v>
      </c>
      <c r="K50" s="10" t="b">
        <f t="shared" si="2"/>
        <v>0</v>
      </c>
    </row>
    <row r="51" spans="2:11" ht="15.75" customHeight="1">
      <c r="B51" s="10" t="b">
        <f t="shared" si="4"/>
        <v>1</v>
      </c>
      <c r="C51" s="10" t="s">
        <v>45</v>
      </c>
      <c r="D51" s="31">
        <v>17</v>
      </c>
      <c r="E51" s="2">
        <v>250</v>
      </c>
      <c r="G51" s="10" t="b">
        <f t="shared" si="1"/>
        <v>1</v>
      </c>
      <c r="K51" s="10" t="b">
        <f t="shared" si="2"/>
        <v>0</v>
      </c>
    </row>
    <row r="52" spans="2:11" ht="15.75" customHeight="1">
      <c r="B52" s="10" t="b">
        <f t="shared" si="4"/>
        <v>1</v>
      </c>
      <c r="C52" s="10" t="s">
        <v>45</v>
      </c>
      <c r="D52" s="31">
        <v>24</v>
      </c>
      <c r="E52" s="2">
        <v>250</v>
      </c>
      <c r="G52" s="10" t="b">
        <f t="shared" si="1"/>
        <v>1</v>
      </c>
      <c r="K52" s="10" t="b">
        <f t="shared" si="2"/>
        <v>0</v>
      </c>
    </row>
    <row r="53" spans="2:11" ht="15.75" customHeight="1">
      <c r="B53" s="10" t="b">
        <f t="shared" si="4"/>
        <v>1</v>
      </c>
      <c r="C53" s="10" t="s">
        <v>46</v>
      </c>
      <c r="D53" s="1">
        <v>16</v>
      </c>
      <c r="E53" s="2">
        <v>30</v>
      </c>
      <c r="G53" s="10" t="b">
        <f t="shared" si="1"/>
        <v>1</v>
      </c>
      <c r="K53" s="10" t="b">
        <f t="shared" si="2"/>
        <v>0</v>
      </c>
    </row>
    <row r="54" spans="2:11" ht="15.75" customHeight="1">
      <c r="B54" s="10" t="b">
        <f t="shared" si="4"/>
        <v>1</v>
      </c>
      <c r="C54" s="10" t="s">
        <v>47</v>
      </c>
      <c r="D54" s="1">
        <v>16</v>
      </c>
      <c r="E54" s="2">
        <v>50</v>
      </c>
      <c r="G54" s="10" t="b">
        <f t="shared" si="1"/>
        <v>1</v>
      </c>
      <c r="K54" s="10" t="b">
        <f t="shared" si="2"/>
        <v>0</v>
      </c>
    </row>
    <row r="55" spans="2:11" ht="8.25" customHeight="1" thickBot="1">
      <c r="B55" s="10" t="b">
        <f t="shared" si="4"/>
        <v>0</v>
      </c>
      <c r="C55" s="13"/>
      <c r="D55" s="14"/>
      <c r="E55" s="15"/>
      <c r="G55" s="10" t="b">
        <f t="shared" si="1"/>
        <v>0</v>
      </c>
      <c r="K55" s="10" t="b">
        <f t="shared" si="2"/>
        <v>0</v>
      </c>
    </row>
    <row r="56" spans="2:11" ht="15.75" customHeight="1" thickBot="1">
      <c r="B56" s="10" t="b">
        <f t="shared" si="4"/>
        <v>0</v>
      </c>
      <c r="C56" s="105" t="s">
        <v>48</v>
      </c>
      <c r="D56" s="106"/>
      <c r="E56" s="106"/>
      <c r="G56" s="10" t="b">
        <f t="shared" si="1"/>
        <v>0</v>
      </c>
      <c r="K56" s="10" t="b">
        <f t="shared" si="2"/>
        <v>0</v>
      </c>
    </row>
    <row r="57" spans="2:11" ht="15.75" customHeight="1">
      <c r="B57" s="10" t="b">
        <f t="shared" si="4"/>
        <v>1</v>
      </c>
      <c r="C57" s="10" t="s">
        <v>49</v>
      </c>
      <c r="D57" s="1">
        <v>24</v>
      </c>
      <c r="E57" s="2">
        <v>22.23</v>
      </c>
      <c r="G57" s="10" t="b">
        <f t="shared" si="1"/>
        <v>1</v>
      </c>
      <c r="K57" s="10" t="b">
        <f t="shared" si="2"/>
        <v>0</v>
      </c>
    </row>
    <row r="58" spans="2:11" ht="15.75" customHeight="1">
      <c r="B58" s="10" t="b">
        <f t="shared" si="4"/>
        <v>1</v>
      </c>
      <c r="C58" s="10" t="s">
        <v>50</v>
      </c>
      <c r="D58" s="1">
        <v>6</v>
      </c>
      <c r="E58" s="2">
        <v>32.869999999999997</v>
      </c>
      <c r="G58" s="10" t="b">
        <f t="shared" si="1"/>
        <v>1</v>
      </c>
      <c r="K58" s="10" t="b">
        <f t="shared" si="2"/>
        <v>0</v>
      </c>
    </row>
    <row r="59" spans="2:11" ht="15.75" customHeight="1">
      <c r="B59" s="10" t="b">
        <f t="shared" si="4"/>
        <v>1</v>
      </c>
      <c r="C59" s="10" t="s">
        <v>51</v>
      </c>
      <c r="D59" s="31">
        <v>14</v>
      </c>
      <c r="E59" s="2">
        <v>105.29</v>
      </c>
      <c r="G59" s="10" t="b">
        <f t="shared" si="1"/>
        <v>1</v>
      </c>
      <c r="K59" s="10" t="b">
        <f t="shared" si="2"/>
        <v>0</v>
      </c>
    </row>
    <row r="60" spans="2:11" ht="15.75" customHeight="1">
      <c r="B60" s="10" t="b">
        <f t="shared" si="4"/>
        <v>1</v>
      </c>
      <c r="C60" s="10" t="s">
        <v>51</v>
      </c>
      <c r="D60" s="31">
        <v>28</v>
      </c>
      <c r="E60" s="2">
        <v>105.29</v>
      </c>
      <c r="G60" s="10" t="b">
        <f t="shared" si="1"/>
        <v>1</v>
      </c>
      <c r="K60" s="10" t="b">
        <f t="shared" si="2"/>
        <v>0</v>
      </c>
    </row>
    <row r="61" spans="2:11" ht="15.75" customHeight="1">
      <c r="B61" s="10" t="b">
        <f t="shared" si="4"/>
        <v>1</v>
      </c>
      <c r="C61" s="10" t="s">
        <v>53</v>
      </c>
      <c r="D61" s="31">
        <v>14</v>
      </c>
      <c r="E61" s="2">
        <v>14.99</v>
      </c>
      <c r="G61" s="10" t="b">
        <f t="shared" si="1"/>
        <v>1</v>
      </c>
      <c r="K61" s="10" t="b">
        <f t="shared" si="2"/>
        <v>0</v>
      </c>
    </row>
    <row r="62" spans="2:11" ht="15.75" customHeight="1">
      <c r="B62" s="10" t="b">
        <f t="shared" si="4"/>
        <v>1</v>
      </c>
      <c r="C62" s="10" t="s">
        <v>56</v>
      </c>
      <c r="D62" s="1">
        <v>17</v>
      </c>
      <c r="E62" s="2">
        <v>14.14</v>
      </c>
      <c r="G62" s="10" t="b">
        <f t="shared" si="1"/>
        <v>1</v>
      </c>
      <c r="K62" s="10" t="b">
        <f t="shared" si="2"/>
        <v>0</v>
      </c>
    </row>
    <row r="63" spans="2:11" ht="15.75" customHeight="1">
      <c r="B63" s="10" t="b">
        <f t="shared" si="4"/>
        <v>1</v>
      </c>
      <c r="C63" s="10" t="s">
        <v>57</v>
      </c>
      <c r="D63" s="1">
        <v>23</v>
      </c>
      <c r="E63" s="2">
        <v>19.3</v>
      </c>
      <c r="G63" s="10" t="b">
        <f t="shared" si="1"/>
        <v>1</v>
      </c>
      <c r="K63" s="10" t="b">
        <f t="shared" si="2"/>
        <v>0</v>
      </c>
    </row>
    <row r="64" spans="2:11" ht="15.75" customHeight="1">
      <c r="B64" s="10" t="b">
        <f t="shared" si="4"/>
        <v>1</v>
      </c>
      <c r="C64" s="10" t="s">
        <v>58</v>
      </c>
      <c r="D64" s="1">
        <v>9</v>
      </c>
      <c r="E64" s="2">
        <v>14.99</v>
      </c>
      <c r="G64" s="10" t="b">
        <f t="shared" si="1"/>
        <v>1</v>
      </c>
      <c r="K64" s="10" t="b">
        <f t="shared" si="2"/>
        <v>0</v>
      </c>
    </row>
    <row r="65" spans="2:16" ht="15.75" customHeight="1">
      <c r="B65" s="10" t="b">
        <f t="shared" si="4"/>
        <v>1</v>
      </c>
      <c r="C65" s="10" t="s">
        <v>59</v>
      </c>
      <c r="D65" s="1">
        <v>16</v>
      </c>
      <c r="E65" s="2">
        <v>20.2</v>
      </c>
      <c r="G65" s="10" t="b">
        <f t="shared" si="1"/>
        <v>1</v>
      </c>
      <c r="K65" s="10" t="b">
        <f t="shared" si="2"/>
        <v>0</v>
      </c>
    </row>
    <row r="66" spans="2:16" ht="15.75" customHeight="1">
      <c r="B66" s="10" t="b">
        <f t="shared" si="4"/>
        <v>0</v>
      </c>
      <c r="D66" s="1"/>
      <c r="E66" s="2"/>
      <c r="G66" s="10" t="b">
        <f t="shared" si="1"/>
        <v>0</v>
      </c>
      <c r="K66" s="10" t="b">
        <f t="shared" si="2"/>
        <v>0</v>
      </c>
    </row>
    <row r="67" spans="2:16" ht="15.75" customHeight="1">
      <c r="B67" s="10" t="b">
        <f t="shared" si="4"/>
        <v>0</v>
      </c>
      <c r="D67" s="1"/>
      <c r="E67" s="2"/>
      <c r="G67" s="10" t="b">
        <f t="shared" si="1"/>
        <v>0</v>
      </c>
      <c r="K67" s="10" t="b">
        <f t="shared" si="2"/>
        <v>0</v>
      </c>
    </row>
    <row r="68" spans="2:16" ht="8.25" customHeight="1" thickBot="1">
      <c r="B68" s="10" t="b">
        <f t="shared" si="4"/>
        <v>0</v>
      </c>
      <c r="C68" s="13"/>
      <c r="D68" s="14"/>
      <c r="E68" s="15"/>
      <c r="G68" s="10" t="b">
        <f t="shared" si="1"/>
        <v>0</v>
      </c>
      <c r="K68" s="10" t="b">
        <f t="shared" si="2"/>
        <v>0</v>
      </c>
    </row>
    <row r="69" spans="2:16" ht="15.75" customHeight="1" thickBot="1">
      <c r="B69" s="10" t="b">
        <f t="shared" si="4"/>
        <v>0</v>
      </c>
      <c r="C69" s="105" t="s">
        <v>62</v>
      </c>
      <c r="D69" s="106"/>
      <c r="E69" s="106"/>
      <c r="G69" s="10" t="b">
        <f t="shared" si="1"/>
        <v>0</v>
      </c>
      <c r="K69" s="10" t="b">
        <f t="shared" si="2"/>
        <v>0</v>
      </c>
    </row>
    <row r="70" spans="2:16" ht="15.75" customHeight="1">
      <c r="B70" s="10" t="b">
        <f t="shared" si="4"/>
        <v>0</v>
      </c>
      <c r="D70" s="1"/>
      <c r="E70" s="2"/>
      <c r="G70" s="10" t="b">
        <f t="shared" si="1"/>
        <v>0</v>
      </c>
      <c r="K70" s="10" t="b">
        <f t="shared" si="2"/>
        <v>0</v>
      </c>
    </row>
    <row r="71" spans="2:16" ht="15.75" customHeight="1">
      <c r="B71" s="10" t="b">
        <f t="shared" si="4"/>
        <v>0</v>
      </c>
      <c r="D71" s="1"/>
      <c r="E71" s="2"/>
      <c r="G71" s="10" t="b">
        <f t="shared" si="1"/>
        <v>0</v>
      </c>
      <c r="K71" s="10" t="b">
        <f t="shared" si="2"/>
        <v>0</v>
      </c>
    </row>
    <row r="72" spans="2:16" ht="15.75" customHeight="1">
      <c r="B72" s="10" t="b">
        <f t="shared" si="4"/>
        <v>0</v>
      </c>
      <c r="D72" s="1"/>
      <c r="E72" s="2"/>
      <c r="G72" s="10" t="b">
        <f t="shared" si="1"/>
        <v>0</v>
      </c>
      <c r="K72" s="10" t="b">
        <f t="shared" si="2"/>
        <v>0</v>
      </c>
    </row>
    <row r="73" spans="2:16" ht="15.75" customHeight="1">
      <c r="B73" s="10" t="b">
        <f t="shared" si="4"/>
        <v>0</v>
      </c>
      <c r="D73" s="1"/>
      <c r="E73" s="2"/>
      <c r="G73" s="10" t="b">
        <f t="shared" si="1"/>
        <v>0</v>
      </c>
      <c r="K73" s="10" t="b">
        <f t="shared" si="2"/>
        <v>0</v>
      </c>
    </row>
    <row r="74" spans="2:16" ht="8.25" customHeight="1" thickBot="1">
      <c r="B74" s="10" t="b">
        <f t="shared" si="4"/>
        <v>0</v>
      </c>
      <c r="C74" s="13"/>
      <c r="D74" s="14"/>
      <c r="E74" s="15"/>
      <c r="G74" s="10" t="b">
        <f t="shared" si="1"/>
        <v>0</v>
      </c>
      <c r="K74" s="10" t="b">
        <f t="shared" si="2"/>
        <v>0</v>
      </c>
    </row>
    <row r="75" spans="2:16" ht="15.75" customHeight="1" thickBot="1">
      <c r="B75" s="10" t="b">
        <f t="shared" si="4"/>
        <v>0</v>
      </c>
      <c r="C75" s="21" t="s">
        <v>63</v>
      </c>
      <c r="D75" s="22"/>
      <c r="E75" s="23">
        <f>$E$14-SUM($E$17:$E$74)</f>
        <v>1844.4700000000021</v>
      </c>
      <c r="F75" s="16"/>
      <c r="G75" s="10" t="b">
        <f t="shared" si="1"/>
        <v>0</v>
      </c>
      <c r="K75" s="10" t="b">
        <f t="shared" si="2"/>
        <v>0</v>
      </c>
      <c r="L75" s="16"/>
      <c r="M75" s="16"/>
      <c r="N75" s="16"/>
      <c r="O75" s="16"/>
      <c r="P75" s="16"/>
    </row>
    <row r="76" spans="2:16" ht="8.25" customHeight="1">
      <c r="B76" s="10" t="b">
        <f t="shared" si="4"/>
        <v>0</v>
      </c>
      <c r="D76" s="1"/>
      <c r="E76" s="2"/>
      <c r="G76" s="10" t="b">
        <f t="shared" si="1"/>
        <v>0</v>
      </c>
      <c r="K76" s="10" t="b">
        <f t="shared" si="2"/>
        <v>0</v>
      </c>
    </row>
    <row r="77" spans="2:16" ht="15.75" customHeight="1">
      <c r="B77" s="10" t="b">
        <f t="shared" si="4"/>
        <v>0</v>
      </c>
      <c r="D77" s="1"/>
      <c r="E77" s="2"/>
      <c r="G77" s="10" t="b">
        <f t="shared" si="1"/>
        <v>0</v>
      </c>
      <c r="K77" s="10" t="b">
        <f t="shared" si="2"/>
        <v>0</v>
      </c>
    </row>
    <row r="78" spans="2:16" ht="15.75" customHeight="1" thickBot="1">
      <c r="B78" s="10" t="b">
        <f t="shared" si="4"/>
        <v>0</v>
      </c>
      <c r="C78" s="105" t="s">
        <v>64</v>
      </c>
      <c r="D78" s="106"/>
      <c r="E78" s="106"/>
      <c r="G78" s="10" t="b">
        <f t="shared" si="1"/>
        <v>0</v>
      </c>
      <c r="K78" s="10" t="b">
        <f t="shared" si="2"/>
        <v>0</v>
      </c>
    </row>
    <row r="79" spans="2:16" ht="15.75" customHeight="1">
      <c r="B79" s="10" t="b">
        <f t="shared" si="4"/>
        <v>0</v>
      </c>
      <c r="C79" s="10" t="s">
        <v>65</v>
      </c>
      <c r="D79" s="1"/>
      <c r="E79" s="2"/>
      <c r="G79" s="10" t="b">
        <f t="shared" si="1"/>
        <v>0</v>
      </c>
      <c r="K79" s="10" t="b">
        <f t="shared" si="2"/>
        <v>0</v>
      </c>
    </row>
    <row r="80" spans="2:16" ht="15.75" customHeight="1">
      <c r="B80" s="10" t="b">
        <f t="shared" si="4"/>
        <v>0</v>
      </c>
      <c r="C80" s="10" t="s">
        <v>66</v>
      </c>
      <c r="D80" s="1"/>
      <c r="E80" s="2"/>
      <c r="G80" s="10" t="b">
        <f t="shared" si="1"/>
        <v>0</v>
      </c>
      <c r="K80" s="10" t="b">
        <f t="shared" si="2"/>
        <v>0</v>
      </c>
    </row>
    <row r="81" spans="4:11" ht="15.75" customHeight="1">
      <c r="D81" s="1"/>
      <c r="E81" s="2"/>
      <c r="G81" s="10" t="b">
        <f t="shared" si="1"/>
        <v>0</v>
      </c>
      <c r="K81" s="10" t="b">
        <f t="shared" si="2"/>
        <v>0</v>
      </c>
    </row>
    <row r="82" spans="4:11" ht="15.75" customHeight="1">
      <c r="D82" s="1"/>
      <c r="E82" s="2"/>
      <c r="G82" s="10" t="b">
        <f t="shared" si="1"/>
        <v>0</v>
      </c>
      <c r="H82" s="16"/>
      <c r="I82" s="16"/>
      <c r="J82" s="16"/>
      <c r="K82" s="10" t="b">
        <f t="shared" si="2"/>
        <v>0</v>
      </c>
    </row>
    <row r="83" spans="4:11" ht="15.75" customHeight="1">
      <c r="D83" s="1"/>
      <c r="E83" s="2"/>
      <c r="G83" s="10" t="b">
        <f t="shared" si="1"/>
        <v>0</v>
      </c>
      <c r="K83" s="10" t="b">
        <f t="shared" si="2"/>
        <v>0</v>
      </c>
    </row>
    <row r="84" spans="4:11" ht="15.75" customHeight="1">
      <c r="D84" s="1"/>
      <c r="E84" s="2"/>
      <c r="G84" s="10" t="b">
        <f t="shared" si="1"/>
        <v>0</v>
      </c>
      <c r="K84" s="10" t="b">
        <f t="shared" si="2"/>
        <v>0</v>
      </c>
    </row>
    <row r="85" spans="4:11" ht="15.75" customHeight="1">
      <c r="D85" s="1"/>
      <c r="E85" s="2"/>
      <c r="G85" s="10" t="b">
        <f t="shared" si="1"/>
        <v>0</v>
      </c>
      <c r="K85" s="10" t="b">
        <f t="shared" si="2"/>
        <v>0</v>
      </c>
    </row>
    <row r="86" spans="4:11" ht="15.75" customHeight="1">
      <c r="D86" s="1"/>
      <c r="E86" s="2"/>
      <c r="G86" s="10" t="b">
        <f t="shared" si="1"/>
        <v>0</v>
      </c>
      <c r="K86" s="10" t="b">
        <f t="shared" si="2"/>
        <v>0</v>
      </c>
    </row>
    <row r="87" spans="4:11" ht="15.75" customHeight="1">
      <c r="D87" s="1"/>
      <c r="E87" s="2"/>
      <c r="G87" s="10" t="b">
        <f t="shared" si="1"/>
        <v>0</v>
      </c>
      <c r="K87" s="10" t="b">
        <f t="shared" si="2"/>
        <v>0</v>
      </c>
    </row>
    <row r="88" spans="4:11" ht="15.75" customHeight="1">
      <c r="D88" s="1"/>
      <c r="E88" s="2"/>
      <c r="G88" s="10" t="b">
        <f t="shared" si="1"/>
        <v>0</v>
      </c>
      <c r="K88" s="10" t="b">
        <f t="shared" si="2"/>
        <v>0</v>
      </c>
    </row>
    <row r="89" spans="4:11" ht="15.75" customHeight="1">
      <c r="D89" s="1"/>
      <c r="E89" s="2"/>
      <c r="G89" s="10" t="b">
        <f t="shared" si="1"/>
        <v>0</v>
      </c>
      <c r="K89" s="10" t="b">
        <f t="shared" si="2"/>
        <v>0</v>
      </c>
    </row>
    <row r="90" spans="4:11" ht="15.75" customHeight="1">
      <c r="D90" s="1"/>
      <c r="E90" s="2"/>
      <c r="G90" s="10" t="b">
        <f t="shared" si="1"/>
        <v>0</v>
      </c>
      <c r="K90" s="10" t="b">
        <f t="shared" si="2"/>
        <v>0</v>
      </c>
    </row>
    <row r="91" spans="4:11" ht="15.75" customHeight="1">
      <c r="D91" s="1"/>
      <c r="E91" s="2"/>
      <c r="G91" s="10" t="b">
        <f t="shared" si="1"/>
        <v>0</v>
      </c>
      <c r="K91" s="10" t="b">
        <f t="shared" si="2"/>
        <v>0</v>
      </c>
    </row>
    <row r="92" spans="4:11" ht="15.75" customHeight="1">
      <c r="D92" s="1"/>
      <c r="E92" s="2"/>
      <c r="G92" s="10" t="b">
        <f t="shared" si="1"/>
        <v>0</v>
      </c>
      <c r="K92" s="10" t="b">
        <f t="shared" si="2"/>
        <v>0</v>
      </c>
    </row>
    <row r="93" spans="4:11" ht="15.75" customHeight="1">
      <c r="D93" s="1"/>
      <c r="E93" s="2"/>
      <c r="G93" s="10" t="b">
        <f t="shared" si="1"/>
        <v>0</v>
      </c>
      <c r="K93" s="10" t="b">
        <f t="shared" si="2"/>
        <v>0</v>
      </c>
    </row>
    <row r="94" spans="4:11" ht="15.75" customHeight="1">
      <c r="D94" s="1"/>
      <c r="E94" s="2"/>
      <c r="G94" s="10" t="b">
        <f t="shared" si="1"/>
        <v>0</v>
      </c>
      <c r="K94" s="10" t="b">
        <f t="shared" si="2"/>
        <v>0</v>
      </c>
    </row>
    <row r="95" spans="4:11" ht="15.75" customHeight="1">
      <c r="D95" s="1"/>
      <c r="E95" s="2"/>
      <c r="G95" s="10" t="b">
        <f t="shared" si="1"/>
        <v>0</v>
      </c>
      <c r="K95" s="10" t="b">
        <f t="shared" si="2"/>
        <v>0</v>
      </c>
    </row>
    <row r="96" spans="4:11" ht="15.75" customHeight="1">
      <c r="D96" s="1"/>
      <c r="E96" s="2"/>
      <c r="G96" s="10" t="b">
        <f t="shared" si="1"/>
        <v>0</v>
      </c>
      <c r="K96" s="10" t="b">
        <f t="shared" si="2"/>
        <v>0</v>
      </c>
    </row>
    <row r="97" spans="4:5" ht="15.75" customHeight="1">
      <c r="D97" s="1"/>
      <c r="E97" s="2"/>
    </row>
    <row r="98" spans="4:5" ht="15.75" customHeight="1">
      <c r="D98" s="1"/>
      <c r="E98" s="2"/>
    </row>
    <row r="99" spans="4:5" ht="15.75" customHeight="1">
      <c r="D99" s="1"/>
      <c r="E99" s="2"/>
    </row>
    <row r="100" spans="4:5" ht="15.75" customHeight="1">
      <c r="D100" s="1"/>
      <c r="E100" s="2"/>
    </row>
    <row r="101" spans="4:5" ht="15.75" customHeight="1">
      <c r="D101" s="1"/>
      <c r="E101" s="2"/>
    </row>
    <row r="102" spans="4:5" ht="15.75" customHeight="1">
      <c r="D102" s="1"/>
      <c r="E102" s="2"/>
    </row>
    <row r="103" spans="4:5" ht="15.75" customHeight="1">
      <c r="D103" s="1"/>
      <c r="E103" s="2"/>
    </row>
    <row r="104" spans="4:5" ht="15.75" customHeight="1">
      <c r="D104" s="1"/>
      <c r="E104" s="2"/>
    </row>
    <row r="105" spans="4:5" ht="15.75" customHeight="1">
      <c r="D105" s="1"/>
      <c r="E105" s="2"/>
    </row>
    <row r="106" spans="4:5" ht="15.75" customHeight="1">
      <c r="D106" s="1"/>
      <c r="E106" s="2"/>
    </row>
    <row r="107" spans="4:5" ht="15.75" customHeight="1">
      <c r="D107" s="1"/>
      <c r="E107" s="2"/>
    </row>
    <row r="108" spans="4:5" ht="15.75" customHeight="1">
      <c r="D108" s="1"/>
      <c r="E108" s="2"/>
    </row>
    <row r="109" spans="4:5" ht="15.75" customHeight="1">
      <c r="D109" s="1"/>
      <c r="E109" s="2"/>
    </row>
    <row r="110" spans="4:5" ht="15.75" customHeight="1">
      <c r="D110" s="1"/>
      <c r="E110" s="2"/>
    </row>
    <row r="111" spans="4:5" ht="15.75" customHeight="1">
      <c r="D111" s="1"/>
      <c r="E111" s="2"/>
    </row>
    <row r="112" spans="4:5" ht="15.75" customHeight="1">
      <c r="D112" s="1"/>
      <c r="E112" s="2"/>
    </row>
    <row r="113" spans="4:5" ht="15.75" customHeight="1">
      <c r="D113" s="1"/>
      <c r="E113" s="2"/>
    </row>
    <row r="114" spans="4:5" ht="15.75" customHeight="1">
      <c r="D114" s="1"/>
      <c r="E114" s="2"/>
    </row>
    <row r="115" spans="4:5" ht="15.75" customHeight="1">
      <c r="D115" s="1"/>
      <c r="E115" s="2"/>
    </row>
    <row r="116" spans="4:5" ht="15.75" customHeight="1">
      <c r="D116" s="1"/>
      <c r="E116" s="2"/>
    </row>
    <row r="117" spans="4:5" ht="15.75" customHeight="1">
      <c r="D117" s="1"/>
      <c r="E117" s="2"/>
    </row>
    <row r="118" spans="4:5" ht="15.75" customHeight="1">
      <c r="D118" s="1"/>
      <c r="E118" s="2"/>
    </row>
    <row r="119" spans="4:5" ht="15.75" customHeight="1">
      <c r="D119" s="1"/>
      <c r="E119" s="2"/>
    </row>
    <row r="120" spans="4:5" ht="15.75" customHeight="1">
      <c r="D120" s="1"/>
      <c r="E120" s="2"/>
    </row>
    <row r="121" spans="4:5" ht="15.75" customHeight="1">
      <c r="D121" s="1"/>
      <c r="E121" s="2"/>
    </row>
    <row r="122" spans="4:5" ht="15.75" customHeight="1">
      <c r="D122" s="1"/>
      <c r="E122" s="2"/>
    </row>
    <row r="123" spans="4:5" ht="15.75" customHeight="1">
      <c r="D123" s="1"/>
      <c r="E123" s="2"/>
    </row>
    <row r="124" spans="4:5" ht="15.75" customHeight="1">
      <c r="D124" s="1"/>
      <c r="E124" s="2"/>
    </row>
    <row r="125" spans="4:5" ht="15.75" customHeight="1">
      <c r="D125" s="1"/>
      <c r="E125" s="2"/>
    </row>
    <row r="126" spans="4:5" ht="15.75" customHeight="1">
      <c r="D126" s="1"/>
      <c r="E126" s="2"/>
    </row>
    <row r="127" spans="4:5" ht="15.75" customHeight="1">
      <c r="D127" s="1"/>
      <c r="E127" s="2"/>
    </row>
    <row r="128" spans="4:5" ht="15.75" customHeight="1">
      <c r="D128" s="1"/>
      <c r="E128" s="2"/>
    </row>
    <row r="129" spans="4:5" ht="15.75" customHeight="1">
      <c r="D129" s="1"/>
      <c r="E129" s="2"/>
    </row>
    <row r="130" spans="4:5" ht="15.75" customHeight="1">
      <c r="D130" s="1"/>
      <c r="E130" s="2"/>
    </row>
    <row r="131" spans="4:5" ht="15.75" customHeight="1">
      <c r="D131" s="1"/>
      <c r="E131" s="2"/>
    </row>
    <row r="132" spans="4:5" ht="15.75" customHeight="1">
      <c r="D132" s="1"/>
      <c r="E132" s="2"/>
    </row>
    <row r="133" spans="4:5" ht="15.75" customHeight="1">
      <c r="D133" s="1"/>
      <c r="E133" s="2"/>
    </row>
    <row r="134" spans="4:5" ht="15.75" customHeight="1">
      <c r="D134" s="1"/>
      <c r="E134" s="2"/>
    </row>
    <row r="135" spans="4:5" ht="15.75" customHeight="1">
      <c r="D135" s="1"/>
      <c r="E135" s="2"/>
    </row>
    <row r="136" spans="4:5" ht="15.75" customHeight="1">
      <c r="D136" s="1"/>
      <c r="E136" s="2"/>
    </row>
    <row r="137" spans="4:5" ht="15.75" customHeight="1">
      <c r="D137" s="1"/>
      <c r="E137" s="2"/>
    </row>
    <row r="138" spans="4:5" ht="15.75" customHeight="1">
      <c r="D138" s="1"/>
      <c r="E138" s="2"/>
    </row>
    <row r="139" spans="4:5" ht="15.75" customHeight="1">
      <c r="D139" s="1"/>
      <c r="E139" s="2"/>
    </row>
    <row r="140" spans="4:5" ht="15.75" customHeight="1">
      <c r="D140" s="1"/>
      <c r="E140" s="2"/>
    </row>
    <row r="141" spans="4:5" ht="15.75" customHeight="1">
      <c r="D141" s="1"/>
      <c r="E141" s="2"/>
    </row>
    <row r="142" spans="4:5" ht="15.75" customHeight="1">
      <c r="D142" s="1"/>
      <c r="E142" s="2"/>
    </row>
    <row r="143" spans="4:5" ht="15.75" customHeight="1">
      <c r="D143" s="1"/>
      <c r="E143" s="2"/>
    </row>
    <row r="144" spans="4:5" ht="15.75" customHeight="1">
      <c r="D144" s="1"/>
      <c r="E144" s="2"/>
    </row>
    <row r="145" spans="4:5" ht="15.75" customHeight="1">
      <c r="D145" s="1"/>
      <c r="E145" s="2"/>
    </row>
    <row r="146" spans="4:5" ht="15.75" customHeight="1">
      <c r="D146" s="1"/>
      <c r="E146" s="2"/>
    </row>
    <row r="147" spans="4:5" ht="15.75" customHeight="1">
      <c r="D147" s="1"/>
      <c r="E147" s="2"/>
    </row>
    <row r="148" spans="4:5" ht="15.75" customHeight="1">
      <c r="D148" s="1"/>
      <c r="E148" s="2"/>
    </row>
    <row r="149" spans="4:5" ht="15.75" customHeight="1">
      <c r="D149" s="1"/>
      <c r="E149" s="2"/>
    </row>
    <row r="150" spans="4:5" ht="15.75" customHeight="1">
      <c r="D150" s="1"/>
      <c r="E150" s="2"/>
    </row>
    <row r="151" spans="4:5" ht="15.75" customHeight="1">
      <c r="D151" s="1"/>
      <c r="E151" s="2"/>
    </row>
    <row r="152" spans="4:5" ht="15.75" customHeight="1">
      <c r="D152" s="1"/>
      <c r="E152" s="2"/>
    </row>
    <row r="153" spans="4:5" ht="15.75" customHeight="1">
      <c r="D153" s="1"/>
      <c r="E153" s="2"/>
    </row>
    <row r="154" spans="4:5" ht="15.75" customHeight="1">
      <c r="D154" s="1"/>
      <c r="E154" s="2"/>
    </row>
    <row r="155" spans="4:5" ht="15.75" customHeight="1">
      <c r="D155" s="1"/>
      <c r="E155" s="2"/>
    </row>
    <row r="156" spans="4:5" ht="15.75" customHeight="1">
      <c r="D156" s="1"/>
      <c r="E156" s="2"/>
    </row>
    <row r="157" spans="4:5" ht="15.75" customHeight="1">
      <c r="D157" s="1"/>
      <c r="E157" s="2"/>
    </row>
    <row r="158" spans="4:5" ht="15.75" customHeight="1">
      <c r="D158" s="1"/>
      <c r="E158" s="2"/>
    </row>
    <row r="159" spans="4:5" ht="15.75" customHeight="1">
      <c r="D159" s="1"/>
      <c r="E159" s="2"/>
    </row>
    <row r="160" spans="4:5" ht="15.75" customHeight="1">
      <c r="D160" s="1"/>
      <c r="E160" s="2"/>
    </row>
    <row r="161" spans="4:5" ht="15.75" customHeight="1">
      <c r="D161" s="1"/>
      <c r="E161" s="2"/>
    </row>
    <row r="162" spans="4:5" ht="15.75" customHeight="1">
      <c r="D162" s="1"/>
      <c r="E162" s="2"/>
    </row>
    <row r="163" spans="4:5" ht="15.75" customHeight="1">
      <c r="D163" s="1"/>
      <c r="E163" s="2"/>
    </row>
    <row r="164" spans="4:5" ht="15.75" customHeight="1">
      <c r="D164" s="1"/>
      <c r="E164" s="2"/>
    </row>
    <row r="165" spans="4:5" ht="15.75" customHeight="1">
      <c r="D165" s="1"/>
      <c r="E165" s="2"/>
    </row>
    <row r="166" spans="4:5" ht="15.75" customHeight="1">
      <c r="D166" s="1"/>
      <c r="E166" s="2"/>
    </row>
    <row r="167" spans="4:5" ht="15.75" customHeight="1">
      <c r="D167" s="1"/>
      <c r="E167" s="2"/>
    </row>
    <row r="168" spans="4:5" ht="15.75" customHeight="1">
      <c r="D168" s="1"/>
      <c r="E168" s="2"/>
    </row>
    <row r="169" spans="4:5" ht="15.75" customHeight="1">
      <c r="D169" s="1"/>
      <c r="E169" s="2"/>
    </row>
    <row r="170" spans="4:5" ht="15.75" customHeight="1">
      <c r="D170" s="1"/>
      <c r="E170" s="2"/>
    </row>
    <row r="171" spans="4:5" ht="15.75" customHeight="1">
      <c r="D171" s="1"/>
      <c r="E171" s="2"/>
    </row>
    <row r="172" spans="4:5" ht="15.75" customHeight="1">
      <c r="D172" s="1"/>
      <c r="E172" s="2"/>
    </row>
    <row r="173" spans="4:5" ht="15.75" customHeight="1">
      <c r="D173" s="1"/>
      <c r="E173" s="2"/>
    </row>
    <row r="174" spans="4:5" ht="15.75" customHeight="1">
      <c r="D174" s="1"/>
      <c r="E174" s="2"/>
    </row>
    <row r="175" spans="4:5" ht="15.75" customHeight="1">
      <c r="D175" s="1"/>
      <c r="E175" s="2"/>
    </row>
    <row r="176" spans="4:5" ht="15.75" customHeight="1">
      <c r="D176" s="1"/>
      <c r="E176" s="2"/>
    </row>
    <row r="177" spans="4:5" ht="15.75" customHeight="1">
      <c r="D177" s="1"/>
      <c r="E177" s="2"/>
    </row>
    <row r="178" spans="4:5" ht="15.75" customHeight="1">
      <c r="D178" s="1"/>
      <c r="E178" s="2"/>
    </row>
    <row r="179" spans="4:5" ht="15.75" customHeight="1">
      <c r="D179" s="1"/>
      <c r="E179" s="2"/>
    </row>
    <row r="180" spans="4:5" ht="15.75" customHeight="1">
      <c r="D180" s="1"/>
      <c r="E180" s="2"/>
    </row>
    <row r="181" spans="4:5" ht="15.75" customHeight="1">
      <c r="D181" s="1"/>
      <c r="E181" s="2"/>
    </row>
    <row r="182" spans="4:5" ht="15.75" customHeight="1">
      <c r="D182" s="1"/>
      <c r="E182" s="2"/>
    </row>
    <row r="183" spans="4:5" ht="15.75" customHeight="1">
      <c r="D183" s="1"/>
      <c r="E183" s="2"/>
    </row>
    <row r="184" spans="4:5" ht="15.75" customHeight="1">
      <c r="D184" s="1"/>
      <c r="E184" s="2"/>
    </row>
    <row r="185" spans="4:5" ht="15.75" customHeight="1">
      <c r="D185" s="1"/>
      <c r="E185" s="2"/>
    </row>
    <row r="186" spans="4:5" ht="15.75" customHeight="1">
      <c r="D186" s="1"/>
      <c r="E186" s="2"/>
    </row>
    <row r="187" spans="4:5" ht="15.75" customHeight="1">
      <c r="D187" s="1"/>
      <c r="E187" s="2"/>
    </row>
    <row r="188" spans="4:5" ht="15.75" customHeight="1">
      <c r="D188" s="1"/>
      <c r="E188" s="2"/>
    </row>
    <row r="189" spans="4:5" ht="15.75" customHeight="1">
      <c r="D189" s="1"/>
      <c r="E189" s="2"/>
    </row>
    <row r="190" spans="4:5" ht="15.75" customHeight="1">
      <c r="D190" s="1"/>
      <c r="E190" s="2"/>
    </row>
    <row r="191" spans="4:5" ht="15.75" customHeight="1">
      <c r="D191" s="1"/>
      <c r="E191" s="2"/>
    </row>
    <row r="192" spans="4:5" ht="15.75" customHeight="1">
      <c r="D192" s="1"/>
      <c r="E192" s="2"/>
    </row>
    <row r="193" spans="4:5" ht="15.75" customHeight="1">
      <c r="D193" s="1"/>
      <c r="E193" s="2"/>
    </row>
    <row r="194" spans="4:5" ht="15.75" customHeight="1">
      <c r="D194" s="1"/>
      <c r="E194" s="2"/>
    </row>
    <row r="195" spans="4:5" ht="15.75" customHeight="1">
      <c r="D195" s="1"/>
      <c r="E195" s="2"/>
    </row>
    <row r="196" spans="4:5" ht="15.75" customHeight="1">
      <c r="D196" s="1"/>
      <c r="E196" s="2"/>
    </row>
    <row r="197" spans="4:5" ht="15.75" customHeight="1">
      <c r="D197" s="1"/>
      <c r="E197" s="2"/>
    </row>
    <row r="198" spans="4:5" ht="15.75" customHeight="1">
      <c r="D198" s="1"/>
      <c r="E198" s="2"/>
    </row>
    <row r="199" spans="4:5" ht="15.75" customHeight="1">
      <c r="D199" s="1"/>
      <c r="E199" s="2"/>
    </row>
    <row r="200" spans="4:5" ht="15.75" customHeight="1">
      <c r="D200" s="1"/>
      <c r="E200" s="2"/>
    </row>
    <row r="201" spans="4:5" ht="15.75" customHeight="1">
      <c r="D201" s="1"/>
      <c r="E201" s="2"/>
    </row>
    <row r="202" spans="4:5" ht="15.75" customHeight="1">
      <c r="D202" s="1"/>
      <c r="E202" s="2"/>
    </row>
    <row r="203" spans="4:5" ht="15.75" customHeight="1">
      <c r="D203" s="1"/>
      <c r="E203" s="2"/>
    </row>
    <row r="204" spans="4:5" ht="15.75" customHeight="1">
      <c r="D204" s="1"/>
      <c r="E204" s="2"/>
    </row>
    <row r="205" spans="4:5" ht="15.75" customHeight="1">
      <c r="D205" s="1"/>
      <c r="E205" s="2"/>
    </row>
    <row r="206" spans="4:5" ht="15.75" customHeight="1">
      <c r="D206" s="1"/>
      <c r="E206" s="2"/>
    </row>
    <row r="207" spans="4:5" ht="15.75" customHeight="1">
      <c r="D207" s="1"/>
      <c r="E207" s="2"/>
    </row>
    <row r="208" spans="4:5" ht="15.75" customHeight="1">
      <c r="D208" s="1"/>
      <c r="E208" s="2"/>
    </row>
    <row r="209" spans="4:5" ht="15.75" customHeight="1">
      <c r="D209" s="1"/>
      <c r="E209" s="2"/>
    </row>
    <row r="210" spans="4:5" ht="15.75" customHeight="1">
      <c r="D210" s="1"/>
      <c r="E210" s="2"/>
    </row>
    <row r="211" spans="4:5" ht="15.75" customHeight="1">
      <c r="D211" s="1"/>
      <c r="E211" s="2"/>
    </row>
    <row r="212" spans="4:5" ht="15.75" customHeight="1">
      <c r="D212" s="1"/>
      <c r="E212" s="2"/>
    </row>
    <row r="213" spans="4:5" ht="15.75" customHeight="1">
      <c r="D213" s="1"/>
      <c r="E213" s="2"/>
    </row>
    <row r="214" spans="4:5" ht="15.75" customHeight="1">
      <c r="D214" s="1"/>
      <c r="E214" s="2"/>
    </row>
    <row r="215" spans="4:5" ht="15.75" customHeight="1">
      <c r="D215" s="1"/>
      <c r="E215" s="2"/>
    </row>
    <row r="216" spans="4:5" ht="15.75" customHeight="1">
      <c r="D216" s="1"/>
      <c r="E216" s="2"/>
    </row>
    <row r="217" spans="4:5" ht="15.75" customHeight="1">
      <c r="D217" s="1"/>
      <c r="E217" s="2"/>
    </row>
    <row r="218" spans="4:5" ht="15.75" customHeight="1">
      <c r="D218" s="1"/>
      <c r="E218" s="2"/>
    </row>
    <row r="219" spans="4:5" ht="15.75" customHeight="1">
      <c r="D219" s="1"/>
      <c r="E219" s="2"/>
    </row>
    <row r="220" spans="4:5" ht="15.75" customHeight="1">
      <c r="D220" s="1"/>
      <c r="E220" s="2"/>
    </row>
    <row r="221" spans="4:5" ht="15.75" customHeight="1">
      <c r="D221" s="1"/>
      <c r="E221" s="2"/>
    </row>
    <row r="222" spans="4:5" ht="15.75" customHeight="1">
      <c r="D222" s="1"/>
      <c r="E222" s="2"/>
    </row>
    <row r="223" spans="4:5" ht="15.75" customHeight="1">
      <c r="D223" s="1"/>
      <c r="E223" s="2"/>
    </row>
    <row r="224" spans="4:5" ht="15.75" customHeight="1">
      <c r="D224" s="1"/>
      <c r="E224" s="2"/>
    </row>
    <row r="225" spans="4:5" ht="15.75" customHeight="1">
      <c r="D225" s="1"/>
      <c r="E225" s="2"/>
    </row>
    <row r="226" spans="4:5" ht="15.75" customHeight="1">
      <c r="D226" s="1"/>
      <c r="E226" s="2"/>
    </row>
    <row r="227" spans="4:5" ht="15.75" customHeight="1">
      <c r="D227" s="1"/>
      <c r="E227" s="2"/>
    </row>
    <row r="228" spans="4:5" ht="15.75" customHeight="1">
      <c r="D228" s="1"/>
      <c r="E228" s="2"/>
    </row>
    <row r="229" spans="4:5" ht="15.75" customHeight="1">
      <c r="D229" s="1"/>
      <c r="E229" s="2"/>
    </row>
    <row r="230" spans="4:5" ht="15.75" customHeight="1">
      <c r="D230" s="1"/>
      <c r="E230" s="2"/>
    </row>
    <row r="231" spans="4:5" ht="15.75" customHeight="1">
      <c r="D231" s="1"/>
      <c r="E231" s="2"/>
    </row>
    <row r="232" spans="4:5" ht="15.75" customHeight="1">
      <c r="D232" s="1"/>
      <c r="E232" s="2"/>
    </row>
    <row r="233" spans="4:5" ht="15.75" customHeight="1">
      <c r="D233" s="1"/>
      <c r="E233" s="2"/>
    </row>
    <row r="234" spans="4:5" ht="15.75" customHeight="1">
      <c r="D234" s="1"/>
      <c r="E234" s="2"/>
    </row>
    <row r="235" spans="4:5" ht="15.75" customHeight="1">
      <c r="D235" s="1"/>
      <c r="E235" s="2"/>
    </row>
    <row r="236" spans="4:5" ht="15.75" customHeight="1">
      <c r="D236" s="1"/>
      <c r="E236" s="2"/>
    </row>
    <row r="237" spans="4:5" ht="15.75" customHeight="1">
      <c r="D237" s="1"/>
      <c r="E237" s="2"/>
    </row>
    <row r="238" spans="4:5" ht="15.75" customHeight="1">
      <c r="D238" s="1"/>
      <c r="E238" s="2"/>
    </row>
    <row r="239" spans="4:5" ht="15.75" customHeight="1">
      <c r="D239" s="1"/>
      <c r="E239" s="2"/>
    </row>
    <row r="240" spans="4:5" ht="15.75" customHeight="1">
      <c r="D240" s="1"/>
      <c r="E240" s="2"/>
    </row>
    <row r="241" spans="4:5" ht="15.75" customHeight="1">
      <c r="D241" s="1"/>
      <c r="E241" s="2"/>
    </row>
    <row r="242" spans="4:5" ht="15.75" customHeight="1">
      <c r="D242" s="1"/>
      <c r="E242" s="2"/>
    </row>
    <row r="243" spans="4:5" ht="15.75" customHeight="1">
      <c r="D243" s="1"/>
      <c r="E243" s="2"/>
    </row>
    <row r="244" spans="4:5" ht="15.75" customHeight="1">
      <c r="D244" s="1"/>
      <c r="E244" s="2"/>
    </row>
    <row r="245" spans="4:5" ht="15.75" customHeight="1">
      <c r="D245" s="1"/>
      <c r="E245" s="2"/>
    </row>
    <row r="246" spans="4:5" ht="15.75" customHeight="1">
      <c r="D246" s="1"/>
      <c r="E246" s="2"/>
    </row>
    <row r="247" spans="4:5" ht="15.75" customHeight="1">
      <c r="D247" s="1"/>
      <c r="E247" s="2"/>
    </row>
    <row r="248" spans="4:5" ht="15.75" customHeight="1">
      <c r="D248" s="1"/>
      <c r="E248" s="2"/>
    </row>
    <row r="249" spans="4:5" ht="15.75" customHeight="1">
      <c r="D249" s="1"/>
      <c r="E249" s="2"/>
    </row>
    <row r="250" spans="4:5" ht="15.75" customHeight="1">
      <c r="D250" s="1"/>
      <c r="E250" s="2"/>
    </row>
    <row r="251" spans="4:5" ht="15.75" customHeight="1">
      <c r="D251" s="1"/>
      <c r="E251" s="2"/>
    </row>
    <row r="252" spans="4:5" ht="15.75" customHeight="1">
      <c r="D252" s="1"/>
      <c r="E252" s="2"/>
    </row>
    <row r="253" spans="4:5" ht="15.75" customHeight="1">
      <c r="D253" s="1"/>
      <c r="E253" s="2"/>
    </row>
    <row r="254" spans="4:5" ht="15.75" customHeight="1">
      <c r="D254" s="1"/>
      <c r="E254" s="2"/>
    </row>
    <row r="255" spans="4:5" ht="15.75" customHeight="1">
      <c r="D255" s="1"/>
      <c r="E255" s="2"/>
    </row>
    <row r="256" spans="4:5" ht="15.75" customHeight="1">
      <c r="D256" s="1"/>
      <c r="E256" s="2"/>
    </row>
    <row r="257" spans="4:5" ht="15.75" customHeight="1">
      <c r="D257" s="1"/>
      <c r="E257" s="2"/>
    </row>
    <row r="258" spans="4:5" ht="15.75" customHeight="1">
      <c r="D258" s="1"/>
      <c r="E258" s="2"/>
    </row>
    <row r="259" spans="4:5" ht="15.75" customHeight="1">
      <c r="D259" s="1"/>
      <c r="E259" s="2"/>
    </row>
    <row r="260" spans="4:5" ht="15.75" customHeight="1">
      <c r="D260" s="1"/>
      <c r="E260" s="2"/>
    </row>
    <row r="261" spans="4:5" ht="15.75" customHeight="1">
      <c r="D261" s="1"/>
      <c r="E261" s="2"/>
    </row>
    <row r="262" spans="4:5" ht="15.75" customHeight="1">
      <c r="D262" s="1"/>
      <c r="E262" s="2"/>
    </row>
    <row r="263" spans="4:5" ht="15.75" customHeight="1">
      <c r="D263" s="1"/>
      <c r="E263" s="2"/>
    </row>
    <row r="264" spans="4:5" ht="15.75" customHeight="1">
      <c r="D264" s="1"/>
      <c r="E264" s="2"/>
    </row>
    <row r="265" spans="4:5" ht="15.75" customHeight="1">
      <c r="D265" s="1"/>
      <c r="E265" s="2"/>
    </row>
    <row r="266" spans="4:5" ht="15.75" customHeight="1">
      <c r="D266" s="1"/>
      <c r="E266" s="2"/>
    </row>
    <row r="267" spans="4:5" ht="15.75" customHeight="1">
      <c r="D267" s="1"/>
      <c r="E267" s="2"/>
    </row>
    <row r="268" spans="4:5" ht="15.75" customHeight="1">
      <c r="D268" s="1"/>
      <c r="E268" s="2"/>
    </row>
    <row r="269" spans="4:5" ht="15.75" customHeight="1">
      <c r="D269" s="1"/>
      <c r="E269" s="2"/>
    </row>
    <row r="270" spans="4:5" ht="15.75" customHeight="1">
      <c r="D270" s="1"/>
      <c r="E270" s="2"/>
    </row>
    <row r="271" spans="4:5" ht="15.75" customHeight="1">
      <c r="D271" s="1"/>
      <c r="E271" s="2"/>
    </row>
    <row r="272" spans="4:5" ht="15.75" customHeight="1">
      <c r="D272" s="1"/>
      <c r="E272" s="2"/>
    </row>
    <row r="273" spans="4:5" ht="15.75" customHeight="1">
      <c r="D273" s="1"/>
      <c r="E273" s="2"/>
    </row>
    <row r="274" spans="4:5" ht="15.75" customHeight="1">
      <c r="D274" s="1"/>
      <c r="E274" s="2"/>
    </row>
    <row r="275" spans="4:5" ht="15.75" customHeight="1">
      <c r="D275" s="1"/>
      <c r="E275" s="2"/>
    </row>
    <row r="276" spans="4:5" ht="15.75" customHeight="1">
      <c r="D276" s="1"/>
      <c r="E276" s="2"/>
    </row>
    <row r="277" spans="4:5" ht="15.75" customHeight="1">
      <c r="D277" s="1"/>
      <c r="E277" s="2"/>
    </row>
    <row r="278" spans="4:5" ht="15.75" customHeight="1">
      <c r="D278" s="1"/>
      <c r="E278" s="2"/>
    </row>
    <row r="279" spans="4:5" ht="15.75" customHeight="1">
      <c r="D279" s="1"/>
      <c r="E279" s="2"/>
    </row>
    <row r="280" spans="4:5" ht="15.75" customHeight="1">
      <c r="D280" s="1"/>
      <c r="E280" s="2"/>
    </row>
    <row r="281" spans="4:5" ht="15.75" customHeight="1">
      <c r="D281" s="1"/>
      <c r="E281" s="2"/>
    </row>
    <row r="282" spans="4:5" ht="15.75" customHeight="1">
      <c r="D282" s="1"/>
      <c r="E282" s="2"/>
    </row>
    <row r="283" spans="4:5" ht="15.75" customHeight="1">
      <c r="D283" s="1"/>
      <c r="E283" s="2"/>
    </row>
    <row r="284" spans="4:5" ht="15.75" customHeight="1">
      <c r="D284" s="1"/>
      <c r="E284" s="2"/>
    </row>
    <row r="285" spans="4:5" ht="15.75" customHeight="1">
      <c r="D285" s="1"/>
      <c r="E285" s="2"/>
    </row>
    <row r="286" spans="4:5" ht="15.75" customHeight="1">
      <c r="D286" s="1"/>
      <c r="E286" s="2"/>
    </row>
    <row r="287" spans="4:5" ht="15.75" customHeight="1">
      <c r="D287" s="1"/>
      <c r="E287" s="2"/>
    </row>
    <row r="288" spans="4:5" ht="15.75" customHeight="1">
      <c r="D288" s="1"/>
      <c r="E288" s="2"/>
    </row>
    <row r="289" spans="4:5" ht="15.75" customHeight="1">
      <c r="D289" s="1"/>
      <c r="E289" s="2"/>
    </row>
    <row r="290" spans="4:5" ht="15.75" customHeight="1">
      <c r="D290" s="1"/>
      <c r="E290" s="2"/>
    </row>
    <row r="291" spans="4:5" ht="15.75" customHeight="1">
      <c r="D291" s="1"/>
      <c r="E291" s="2"/>
    </row>
    <row r="292" spans="4:5" ht="15.75" customHeight="1">
      <c r="D292" s="1"/>
      <c r="E292" s="2"/>
    </row>
    <row r="293" spans="4:5" ht="15.75" customHeight="1">
      <c r="D293" s="1"/>
      <c r="E293" s="2"/>
    </row>
    <row r="294" spans="4:5" ht="15.75" customHeight="1">
      <c r="D294" s="1"/>
      <c r="E294" s="2"/>
    </row>
    <row r="295" spans="4:5" ht="15.75" customHeight="1">
      <c r="D295" s="1"/>
      <c r="E295" s="2"/>
    </row>
    <row r="296" spans="4:5" ht="15.75" customHeight="1">
      <c r="D296" s="1"/>
      <c r="E296" s="2"/>
    </row>
    <row r="297" spans="4:5" ht="15.75" customHeight="1">
      <c r="D297" s="1"/>
      <c r="E297" s="2"/>
    </row>
    <row r="298" spans="4:5" ht="15.75" customHeight="1">
      <c r="D298" s="1"/>
      <c r="E298" s="2"/>
    </row>
    <row r="299" spans="4:5" ht="15.75" customHeight="1">
      <c r="D299" s="1"/>
      <c r="E299" s="2"/>
    </row>
    <row r="300" spans="4:5" ht="15.75" customHeight="1">
      <c r="D300" s="1"/>
      <c r="E300" s="2"/>
    </row>
    <row r="301" spans="4:5" ht="15.75" customHeight="1">
      <c r="D301" s="1"/>
      <c r="E301" s="2"/>
    </row>
    <row r="302" spans="4:5" ht="15.75" customHeight="1">
      <c r="D302" s="1"/>
      <c r="E302" s="2"/>
    </row>
    <row r="303" spans="4:5" ht="15.75" customHeight="1">
      <c r="D303" s="1"/>
      <c r="E303" s="2"/>
    </row>
    <row r="304" spans="4:5" ht="15.75" customHeight="1">
      <c r="D304" s="1"/>
      <c r="E304" s="2"/>
    </row>
    <row r="305" spans="4:5" ht="15.75" customHeight="1">
      <c r="D305" s="1"/>
      <c r="E305" s="2"/>
    </row>
    <row r="306" spans="4:5" ht="15.75" customHeight="1">
      <c r="D306" s="1"/>
      <c r="E306" s="2"/>
    </row>
    <row r="307" spans="4:5" ht="15.75" customHeight="1">
      <c r="D307" s="1"/>
      <c r="E307" s="2"/>
    </row>
    <row r="308" spans="4:5" ht="15.75" customHeight="1">
      <c r="D308" s="1"/>
      <c r="E308" s="2"/>
    </row>
    <row r="309" spans="4:5" ht="15.75" customHeight="1">
      <c r="D309" s="1"/>
      <c r="E309" s="2"/>
    </row>
    <row r="310" spans="4:5" ht="15.75" customHeight="1">
      <c r="D310" s="1"/>
      <c r="E310" s="2"/>
    </row>
    <row r="311" spans="4:5" ht="15.75" customHeight="1">
      <c r="D311" s="1"/>
      <c r="E311" s="2"/>
    </row>
    <row r="312" spans="4:5" ht="15.75" customHeight="1">
      <c r="D312" s="1"/>
      <c r="E312" s="2"/>
    </row>
    <row r="313" spans="4:5" ht="15.75" customHeight="1">
      <c r="D313" s="1"/>
      <c r="E313" s="2"/>
    </row>
    <row r="314" spans="4:5" ht="15.75" customHeight="1">
      <c r="D314" s="1"/>
      <c r="E314" s="2"/>
    </row>
    <row r="315" spans="4:5" ht="15.75" customHeight="1">
      <c r="D315" s="1"/>
      <c r="E315" s="2"/>
    </row>
    <row r="316" spans="4:5" ht="15.75" customHeight="1">
      <c r="D316" s="1"/>
      <c r="E316" s="2"/>
    </row>
    <row r="317" spans="4:5" ht="15.75" customHeight="1">
      <c r="D317" s="1"/>
      <c r="E317" s="2"/>
    </row>
    <row r="318" spans="4:5" ht="15.75" customHeight="1">
      <c r="D318" s="1"/>
      <c r="E318" s="2"/>
    </row>
    <row r="319" spans="4:5" ht="15.75" customHeight="1">
      <c r="D319" s="1"/>
      <c r="E319" s="2"/>
    </row>
    <row r="320" spans="4:5" ht="15.75" customHeight="1">
      <c r="D320" s="1"/>
      <c r="E320" s="2"/>
    </row>
    <row r="321" spans="4:5" ht="15.75" customHeight="1">
      <c r="D321" s="1"/>
      <c r="E321" s="2"/>
    </row>
    <row r="322" spans="4:5" ht="15.75" customHeight="1">
      <c r="D322" s="1"/>
      <c r="E322" s="2"/>
    </row>
    <row r="323" spans="4:5" ht="15.75" customHeight="1">
      <c r="D323" s="1"/>
      <c r="E323" s="2"/>
    </row>
    <row r="324" spans="4:5" ht="15.75" customHeight="1">
      <c r="D324" s="1"/>
      <c r="E324" s="2"/>
    </row>
    <row r="325" spans="4:5" ht="15.75" customHeight="1">
      <c r="D325" s="1"/>
      <c r="E325" s="2"/>
    </row>
    <row r="326" spans="4:5" ht="15.75" customHeight="1">
      <c r="D326" s="1"/>
      <c r="E326" s="2"/>
    </row>
    <row r="327" spans="4:5" ht="15.75" customHeight="1">
      <c r="D327" s="1"/>
      <c r="E327" s="2"/>
    </row>
    <row r="328" spans="4:5" ht="15.75" customHeight="1">
      <c r="D328" s="1"/>
      <c r="E328" s="2"/>
    </row>
    <row r="329" spans="4:5" ht="15.75" customHeight="1">
      <c r="D329" s="1"/>
      <c r="E329" s="2"/>
    </row>
    <row r="330" spans="4:5" ht="15.75" customHeight="1">
      <c r="D330" s="1"/>
      <c r="E330" s="2"/>
    </row>
    <row r="331" spans="4:5" ht="15.75" customHeight="1">
      <c r="D331" s="1"/>
      <c r="E331" s="2"/>
    </row>
    <row r="332" spans="4:5" ht="15.75" customHeight="1">
      <c r="D332" s="1"/>
      <c r="E332" s="2"/>
    </row>
    <row r="333" spans="4:5" ht="15.75" customHeight="1">
      <c r="D333" s="1"/>
      <c r="E333" s="2"/>
    </row>
    <row r="334" spans="4:5" ht="15.75" customHeight="1">
      <c r="D334" s="1"/>
      <c r="E334" s="2"/>
    </row>
    <row r="335" spans="4:5" ht="15.75" customHeight="1">
      <c r="D335" s="1"/>
      <c r="E335" s="2"/>
    </row>
    <row r="336" spans="4:5" ht="15.75" customHeight="1">
      <c r="D336" s="1"/>
      <c r="E336" s="2"/>
    </row>
    <row r="337" spans="4:5" ht="15.75" customHeight="1">
      <c r="D337" s="1"/>
      <c r="E337" s="2"/>
    </row>
    <row r="338" spans="4:5" ht="15.75" customHeight="1">
      <c r="D338" s="1"/>
      <c r="E338" s="2"/>
    </row>
    <row r="339" spans="4:5" ht="15.75" customHeight="1">
      <c r="D339" s="1"/>
      <c r="E339" s="2"/>
    </row>
    <row r="340" spans="4:5" ht="15.75" customHeight="1">
      <c r="D340" s="1"/>
      <c r="E340" s="2"/>
    </row>
    <row r="341" spans="4:5" ht="15.75" customHeight="1">
      <c r="D341" s="1"/>
      <c r="E341" s="2"/>
    </row>
    <row r="342" spans="4:5" ht="15.75" customHeight="1">
      <c r="D342" s="1"/>
      <c r="E342" s="2"/>
    </row>
    <row r="343" spans="4:5" ht="15.75" customHeight="1">
      <c r="D343" s="1"/>
      <c r="E343" s="2"/>
    </row>
    <row r="344" spans="4:5" ht="15.75" customHeight="1">
      <c r="D344" s="1"/>
      <c r="E344" s="2"/>
    </row>
    <row r="345" spans="4:5" ht="15.75" customHeight="1">
      <c r="D345" s="1"/>
      <c r="E345" s="2"/>
    </row>
    <row r="346" spans="4:5" ht="15.75" customHeight="1">
      <c r="D346" s="1"/>
      <c r="E346" s="2"/>
    </row>
    <row r="347" spans="4:5" ht="15.75" customHeight="1">
      <c r="D347" s="1"/>
      <c r="E347" s="2"/>
    </row>
    <row r="348" spans="4:5" ht="15.75" customHeight="1">
      <c r="D348" s="1"/>
      <c r="E348" s="2"/>
    </row>
    <row r="349" spans="4:5" ht="15.75" customHeight="1">
      <c r="D349" s="1"/>
      <c r="E349" s="2"/>
    </row>
    <row r="350" spans="4:5" ht="15.75" customHeight="1">
      <c r="D350" s="1"/>
      <c r="E350" s="2"/>
    </row>
    <row r="351" spans="4:5" ht="15.75" customHeight="1">
      <c r="D351" s="1"/>
      <c r="E351" s="2"/>
    </row>
    <row r="352" spans="4:5" ht="15.75" customHeight="1">
      <c r="D352" s="1"/>
      <c r="E352" s="2"/>
    </row>
    <row r="353" spans="4:5" ht="15.75" customHeight="1">
      <c r="D353" s="1"/>
      <c r="E353" s="2"/>
    </row>
    <row r="354" spans="4:5" ht="15.75" customHeight="1">
      <c r="D354" s="1"/>
      <c r="E354" s="2"/>
    </row>
    <row r="355" spans="4:5" ht="15.75" customHeight="1">
      <c r="D355" s="1"/>
      <c r="E355" s="2"/>
    </row>
    <row r="356" spans="4:5" ht="15.75" customHeight="1">
      <c r="D356" s="1"/>
      <c r="E356" s="2"/>
    </row>
    <row r="357" spans="4:5" ht="15.75" customHeight="1">
      <c r="D357" s="1"/>
      <c r="E357" s="2"/>
    </row>
    <row r="358" spans="4:5" ht="15.75" customHeight="1">
      <c r="D358" s="1"/>
      <c r="E358" s="2"/>
    </row>
    <row r="359" spans="4:5" ht="15.75" customHeight="1">
      <c r="D359" s="1"/>
      <c r="E359" s="2"/>
    </row>
    <row r="360" spans="4:5" ht="15.75" customHeight="1">
      <c r="D360" s="1"/>
      <c r="E360" s="2"/>
    </row>
    <row r="361" spans="4:5" ht="15.75" customHeight="1">
      <c r="D361" s="1"/>
      <c r="E361" s="2"/>
    </row>
    <row r="362" spans="4:5" ht="15.75" customHeight="1">
      <c r="D362" s="1"/>
      <c r="E362" s="2"/>
    </row>
    <row r="363" spans="4:5" ht="15.75" customHeight="1">
      <c r="D363" s="1"/>
      <c r="E363" s="2"/>
    </row>
    <row r="364" spans="4:5" ht="15.75" customHeight="1">
      <c r="D364" s="1"/>
      <c r="E364" s="2"/>
    </row>
    <row r="365" spans="4:5" ht="15.75" customHeight="1">
      <c r="D365" s="1"/>
      <c r="E365" s="2"/>
    </row>
    <row r="366" spans="4:5" ht="15.75" customHeight="1">
      <c r="D366" s="1"/>
      <c r="E366" s="2"/>
    </row>
    <row r="367" spans="4:5" ht="15.75" customHeight="1">
      <c r="D367" s="1"/>
      <c r="E367" s="2"/>
    </row>
    <row r="368" spans="4:5" ht="15.75" customHeight="1">
      <c r="D368" s="1"/>
      <c r="E368" s="2"/>
    </row>
    <row r="369" spans="4:5" ht="15.75" customHeight="1">
      <c r="D369" s="1"/>
      <c r="E369" s="2"/>
    </row>
    <row r="370" spans="4:5" ht="15.75" customHeight="1">
      <c r="D370" s="1"/>
      <c r="E370" s="2"/>
    </row>
    <row r="371" spans="4:5" ht="15.75" customHeight="1">
      <c r="D371" s="1"/>
      <c r="E371" s="2"/>
    </row>
    <row r="372" spans="4:5" ht="15.75" customHeight="1">
      <c r="D372" s="1"/>
      <c r="E372" s="2"/>
    </row>
    <row r="373" spans="4:5" ht="15.75" customHeight="1">
      <c r="D373" s="1"/>
      <c r="E373" s="2"/>
    </row>
    <row r="374" spans="4:5" ht="15.75" customHeight="1">
      <c r="D374" s="1"/>
      <c r="E374" s="2"/>
    </row>
    <row r="375" spans="4:5" ht="15.75" customHeight="1">
      <c r="D375" s="1"/>
      <c r="E375" s="2"/>
    </row>
    <row r="376" spans="4:5" ht="15.75" customHeight="1">
      <c r="D376" s="1"/>
      <c r="E376" s="2"/>
    </row>
    <row r="377" spans="4:5" ht="15.75" customHeight="1">
      <c r="D377" s="1"/>
      <c r="E377" s="2"/>
    </row>
    <row r="378" spans="4:5" ht="15.75" customHeight="1">
      <c r="D378" s="1"/>
      <c r="E378" s="2"/>
    </row>
    <row r="379" spans="4:5" ht="15.75" customHeight="1">
      <c r="D379" s="1"/>
      <c r="E379" s="2"/>
    </row>
    <row r="380" spans="4:5" ht="15.75" customHeight="1">
      <c r="D380" s="1"/>
      <c r="E380" s="2"/>
    </row>
    <row r="381" spans="4:5" ht="15.75" customHeight="1">
      <c r="D381" s="1"/>
      <c r="E381" s="2"/>
    </row>
    <row r="382" spans="4:5" ht="15.75" customHeight="1">
      <c r="D382" s="1"/>
      <c r="E382" s="2"/>
    </row>
    <row r="383" spans="4:5" ht="15.75" customHeight="1">
      <c r="D383" s="1"/>
      <c r="E383" s="2"/>
    </row>
    <row r="384" spans="4:5" ht="15.75" customHeight="1">
      <c r="D384" s="1"/>
      <c r="E384" s="2"/>
    </row>
    <row r="385" spans="4:5" ht="15.75" customHeight="1">
      <c r="D385" s="1"/>
      <c r="E385" s="2"/>
    </row>
    <row r="386" spans="4:5" ht="15.75" customHeight="1">
      <c r="D386" s="1"/>
      <c r="E386" s="2"/>
    </row>
    <row r="387" spans="4:5" ht="15.75" customHeight="1">
      <c r="D387" s="1"/>
      <c r="E387" s="2"/>
    </row>
    <row r="388" spans="4:5" ht="15.75" customHeight="1">
      <c r="D388" s="1"/>
      <c r="E388" s="2"/>
    </row>
    <row r="389" spans="4:5" ht="15.75" customHeight="1">
      <c r="D389" s="1"/>
      <c r="E389" s="2"/>
    </row>
    <row r="390" spans="4:5" ht="15.75" customHeight="1">
      <c r="D390" s="1"/>
      <c r="E390" s="2"/>
    </row>
    <row r="391" spans="4:5" ht="15.75" customHeight="1">
      <c r="D391" s="1"/>
      <c r="E391" s="2"/>
    </row>
    <row r="392" spans="4:5" ht="15.75" customHeight="1">
      <c r="D392" s="1"/>
      <c r="E392" s="2"/>
    </row>
    <row r="393" spans="4:5" ht="15.75" customHeight="1">
      <c r="D393" s="1"/>
      <c r="E393" s="2"/>
    </row>
    <row r="394" spans="4:5" ht="15.75" customHeight="1">
      <c r="D394" s="1"/>
      <c r="E394" s="2"/>
    </row>
    <row r="395" spans="4:5" ht="15.75" customHeight="1">
      <c r="D395" s="1"/>
      <c r="E395" s="2"/>
    </row>
    <row r="396" spans="4:5" ht="15.75" customHeight="1">
      <c r="D396" s="1"/>
      <c r="E396" s="2"/>
    </row>
    <row r="397" spans="4:5" ht="15.75" customHeight="1">
      <c r="D397" s="1"/>
      <c r="E397" s="2"/>
    </row>
    <row r="398" spans="4:5" ht="15.75" customHeight="1">
      <c r="D398" s="1"/>
      <c r="E398" s="2"/>
    </row>
    <row r="399" spans="4:5" ht="15.75" customHeight="1">
      <c r="D399" s="1"/>
      <c r="E399" s="2"/>
    </row>
    <row r="400" spans="4:5" ht="15.75" customHeight="1">
      <c r="D400" s="1"/>
      <c r="E400" s="2"/>
    </row>
    <row r="401" spans="4:5" ht="15.75" customHeight="1">
      <c r="D401" s="1"/>
      <c r="E401" s="2"/>
    </row>
    <row r="402" spans="4:5" ht="15.75" customHeight="1">
      <c r="D402" s="1"/>
      <c r="E402" s="2"/>
    </row>
    <row r="403" spans="4:5" ht="15.75" customHeight="1">
      <c r="D403" s="1"/>
      <c r="E403" s="2"/>
    </row>
    <row r="404" spans="4:5" ht="15.75" customHeight="1">
      <c r="D404" s="1"/>
      <c r="E404" s="2"/>
    </row>
    <row r="405" spans="4:5" ht="15.75" customHeight="1">
      <c r="D405" s="1"/>
      <c r="E405" s="2"/>
    </row>
    <row r="406" spans="4:5" ht="15.75" customHeight="1">
      <c r="D406" s="1"/>
      <c r="E406" s="2"/>
    </row>
    <row r="407" spans="4:5" ht="15.75" customHeight="1">
      <c r="D407" s="1"/>
      <c r="E407" s="2"/>
    </row>
    <row r="408" spans="4:5" ht="15.75" customHeight="1">
      <c r="D408" s="1"/>
      <c r="E408" s="2"/>
    </row>
    <row r="409" spans="4:5" ht="15.75" customHeight="1">
      <c r="D409" s="1"/>
      <c r="E409" s="2"/>
    </row>
    <row r="410" spans="4:5" ht="15.75" customHeight="1">
      <c r="D410" s="1"/>
      <c r="E410" s="2"/>
    </row>
    <row r="411" spans="4:5" ht="15.75" customHeight="1">
      <c r="D411" s="1"/>
      <c r="E411" s="2"/>
    </row>
    <row r="412" spans="4:5" ht="15.75" customHeight="1">
      <c r="D412" s="1"/>
      <c r="E412" s="2"/>
    </row>
    <row r="413" spans="4:5" ht="15.75" customHeight="1">
      <c r="D413" s="1"/>
      <c r="E413" s="2"/>
    </row>
    <row r="414" spans="4:5" ht="15.75" customHeight="1">
      <c r="D414" s="1"/>
      <c r="E414" s="2"/>
    </row>
    <row r="415" spans="4:5" ht="15.75" customHeight="1">
      <c r="D415" s="1"/>
      <c r="E415" s="2"/>
    </row>
    <row r="416" spans="4:5" ht="15.75" customHeight="1">
      <c r="D416" s="1"/>
      <c r="E416" s="2"/>
    </row>
    <row r="417" spans="4:5" ht="15.75" customHeight="1">
      <c r="D417" s="1"/>
      <c r="E417" s="2"/>
    </row>
    <row r="418" spans="4:5" ht="15.75" customHeight="1">
      <c r="D418" s="1"/>
      <c r="E418" s="2"/>
    </row>
    <row r="419" spans="4:5" ht="15.75" customHeight="1">
      <c r="D419" s="1"/>
      <c r="E419" s="2"/>
    </row>
    <row r="420" spans="4:5" ht="15.75" customHeight="1">
      <c r="D420" s="1"/>
      <c r="E420" s="2"/>
    </row>
    <row r="421" spans="4:5" ht="15.75" customHeight="1">
      <c r="D421" s="1"/>
      <c r="E421" s="2"/>
    </row>
    <row r="422" spans="4:5" ht="15.75" customHeight="1">
      <c r="D422" s="1"/>
      <c r="E422" s="2"/>
    </row>
    <row r="423" spans="4:5" ht="15.75" customHeight="1">
      <c r="D423" s="1"/>
      <c r="E423" s="2"/>
    </row>
    <row r="424" spans="4:5" ht="15.75" customHeight="1">
      <c r="D424" s="1"/>
      <c r="E424" s="2"/>
    </row>
    <row r="425" spans="4:5" ht="15.75" customHeight="1">
      <c r="D425" s="1"/>
      <c r="E425" s="2"/>
    </row>
    <row r="426" spans="4:5" ht="15.75" customHeight="1">
      <c r="D426" s="1"/>
      <c r="E426" s="2"/>
    </row>
    <row r="427" spans="4:5" ht="15.75" customHeight="1">
      <c r="D427" s="1"/>
      <c r="E427" s="2"/>
    </row>
    <row r="428" spans="4:5" ht="15.75" customHeight="1">
      <c r="D428" s="1"/>
      <c r="E428" s="2"/>
    </row>
    <row r="429" spans="4:5" ht="15.75" customHeight="1">
      <c r="D429" s="1"/>
      <c r="E429" s="2"/>
    </row>
    <row r="430" spans="4:5" ht="15.75" customHeight="1">
      <c r="D430" s="1"/>
      <c r="E430" s="2"/>
    </row>
    <row r="431" spans="4:5" ht="15.75" customHeight="1">
      <c r="D431" s="1"/>
      <c r="E431" s="2"/>
    </row>
    <row r="432" spans="4:5" ht="15.75" customHeight="1">
      <c r="D432" s="1"/>
      <c r="E432" s="2"/>
    </row>
    <row r="433" spans="4:5" ht="15.75" customHeight="1">
      <c r="D433" s="1"/>
      <c r="E433" s="2"/>
    </row>
    <row r="434" spans="4:5" ht="15.75" customHeight="1">
      <c r="D434" s="1"/>
      <c r="E434" s="2"/>
    </row>
    <row r="435" spans="4:5" ht="15.75" customHeight="1">
      <c r="D435" s="1"/>
      <c r="E435" s="2"/>
    </row>
    <row r="436" spans="4:5" ht="15.75" customHeight="1">
      <c r="D436" s="1"/>
      <c r="E436" s="2"/>
    </row>
    <row r="437" spans="4:5" ht="15.75" customHeight="1">
      <c r="D437" s="1"/>
      <c r="E437" s="2"/>
    </row>
    <row r="438" spans="4:5" ht="15.75" customHeight="1">
      <c r="D438" s="1"/>
      <c r="E438" s="2"/>
    </row>
    <row r="439" spans="4:5" ht="15.75" customHeight="1">
      <c r="D439" s="1"/>
      <c r="E439" s="2"/>
    </row>
    <row r="440" spans="4:5" ht="15.75" customHeight="1">
      <c r="D440" s="1"/>
      <c r="E440" s="2"/>
    </row>
    <row r="441" spans="4:5" ht="15.75" customHeight="1">
      <c r="D441" s="1"/>
      <c r="E441" s="2"/>
    </row>
    <row r="442" spans="4:5" ht="15.75" customHeight="1">
      <c r="D442" s="1"/>
      <c r="E442" s="2"/>
    </row>
    <row r="443" spans="4:5" ht="15.75" customHeight="1">
      <c r="D443" s="1"/>
      <c r="E443" s="2"/>
    </row>
    <row r="444" spans="4:5" ht="15.75" customHeight="1">
      <c r="D444" s="1"/>
      <c r="E444" s="2"/>
    </row>
    <row r="445" spans="4:5" ht="15.75" customHeight="1">
      <c r="D445" s="1"/>
      <c r="E445" s="2"/>
    </row>
    <row r="446" spans="4:5" ht="15.75" customHeight="1">
      <c r="D446" s="1"/>
      <c r="E446" s="2"/>
    </row>
    <row r="447" spans="4:5" ht="15.75" customHeight="1">
      <c r="D447" s="1"/>
      <c r="E447" s="2"/>
    </row>
    <row r="448" spans="4:5" ht="15.75" customHeight="1">
      <c r="D448" s="1"/>
      <c r="E448" s="2"/>
    </row>
    <row r="449" spans="4:5" ht="15.75" customHeight="1">
      <c r="D449" s="1"/>
      <c r="E449" s="2"/>
    </row>
    <row r="450" spans="4:5" ht="15.75" customHeight="1">
      <c r="D450" s="1"/>
      <c r="E450" s="2"/>
    </row>
    <row r="451" spans="4:5" ht="15.75" customHeight="1">
      <c r="D451" s="1"/>
      <c r="E451" s="2"/>
    </row>
    <row r="452" spans="4:5" ht="15.75" customHeight="1">
      <c r="D452" s="1"/>
      <c r="E452" s="2"/>
    </row>
    <row r="453" spans="4:5" ht="15.75" customHeight="1">
      <c r="D453" s="1"/>
      <c r="E453" s="2"/>
    </row>
    <row r="454" spans="4:5" ht="15.75" customHeight="1">
      <c r="D454" s="1"/>
      <c r="E454" s="2"/>
    </row>
    <row r="455" spans="4:5" ht="15.75" customHeight="1">
      <c r="D455" s="1"/>
      <c r="E455" s="2"/>
    </row>
    <row r="456" spans="4:5" ht="15.75" customHeight="1">
      <c r="D456" s="1"/>
      <c r="E456" s="2"/>
    </row>
    <row r="457" spans="4:5" ht="15.75" customHeight="1">
      <c r="D457" s="1"/>
      <c r="E457" s="2"/>
    </row>
    <row r="458" spans="4:5" ht="15.75" customHeight="1">
      <c r="D458" s="1"/>
      <c r="E458" s="2"/>
    </row>
    <row r="459" spans="4:5" ht="15.75" customHeight="1">
      <c r="D459" s="1"/>
      <c r="E459" s="2"/>
    </row>
    <row r="460" spans="4:5" ht="15.75" customHeight="1">
      <c r="D460" s="1"/>
      <c r="E460" s="2"/>
    </row>
    <row r="461" spans="4:5" ht="15.75" customHeight="1">
      <c r="D461" s="1"/>
      <c r="E461" s="2"/>
    </row>
    <row r="462" spans="4:5" ht="15.75" customHeight="1">
      <c r="D462" s="1"/>
      <c r="E462" s="2"/>
    </row>
    <row r="463" spans="4:5" ht="15.75" customHeight="1">
      <c r="D463" s="1"/>
      <c r="E463" s="2"/>
    </row>
    <row r="464" spans="4:5" ht="15.75" customHeight="1">
      <c r="D464" s="1"/>
      <c r="E464" s="2"/>
    </row>
    <row r="465" spans="4:5" ht="15.75" customHeight="1">
      <c r="D465" s="1"/>
      <c r="E465" s="2"/>
    </row>
    <row r="466" spans="4:5" ht="15.75" customHeight="1">
      <c r="D466" s="1"/>
      <c r="E466" s="2"/>
    </row>
    <row r="467" spans="4:5" ht="15.75" customHeight="1">
      <c r="D467" s="1"/>
      <c r="E467" s="2"/>
    </row>
    <row r="468" spans="4:5" ht="15.75" customHeight="1">
      <c r="D468" s="1"/>
      <c r="E468" s="2"/>
    </row>
    <row r="469" spans="4:5" ht="15.75" customHeight="1">
      <c r="D469" s="1"/>
      <c r="E469" s="2"/>
    </row>
    <row r="470" spans="4:5" ht="15.75" customHeight="1">
      <c r="D470" s="1"/>
      <c r="E470" s="2"/>
    </row>
    <row r="471" spans="4:5" ht="15.75" customHeight="1">
      <c r="D471" s="1"/>
      <c r="E471" s="2"/>
    </row>
    <row r="472" spans="4:5" ht="15.75" customHeight="1">
      <c r="D472" s="1"/>
      <c r="E472" s="2"/>
    </row>
    <row r="473" spans="4:5" ht="15.75" customHeight="1">
      <c r="D473" s="1"/>
      <c r="E473" s="2"/>
    </row>
    <row r="474" spans="4:5" ht="15.75" customHeight="1">
      <c r="D474" s="1"/>
      <c r="E474" s="2"/>
    </row>
    <row r="475" spans="4:5" ht="15.75" customHeight="1">
      <c r="D475" s="1"/>
      <c r="E475" s="2"/>
    </row>
    <row r="476" spans="4:5" ht="15.75" customHeight="1">
      <c r="D476" s="1"/>
      <c r="E476" s="2"/>
    </row>
    <row r="477" spans="4:5" ht="15.75" customHeight="1">
      <c r="D477" s="1"/>
      <c r="E477" s="2"/>
    </row>
    <row r="478" spans="4:5" ht="15.75" customHeight="1">
      <c r="D478" s="1"/>
      <c r="E478" s="2"/>
    </row>
    <row r="479" spans="4:5" ht="15.75" customHeight="1">
      <c r="D479" s="1"/>
      <c r="E479" s="2"/>
    </row>
    <row r="480" spans="4:5" ht="15.75" customHeight="1">
      <c r="D480" s="1"/>
      <c r="E480" s="2"/>
    </row>
    <row r="481" spans="4:5" ht="15.75" customHeight="1">
      <c r="D481" s="1"/>
      <c r="E481" s="2"/>
    </row>
    <row r="482" spans="4:5" ht="15.75" customHeight="1">
      <c r="D482" s="1"/>
      <c r="E482" s="2"/>
    </row>
    <row r="483" spans="4:5" ht="15.75" customHeight="1">
      <c r="D483" s="1"/>
      <c r="E483" s="2"/>
    </row>
    <row r="484" spans="4:5" ht="15.75" customHeight="1">
      <c r="D484" s="1"/>
      <c r="E484" s="2"/>
    </row>
    <row r="485" spans="4:5" ht="15.75" customHeight="1">
      <c r="D485" s="1"/>
      <c r="E485" s="2"/>
    </row>
    <row r="486" spans="4:5" ht="15.75" customHeight="1">
      <c r="D486" s="1"/>
      <c r="E486" s="2"/>
    </row>
    <row r="487" spans="4:5" ht="15.75" customHeight="1">
      <c r="D487" s="1"/>
      <c r="E487" s="2"/>
    </row>
    <row r="488" spans="4:5" ht="15.75" customHeight="1">
      <c r="D488" s="1"/>
      <c r="E488" s="2"/>
    </row>
    <row r="489" spans="4:5" ht="15.75" customHeight="1">
      <c r="D489" s="1"/>
      <c r="E489" s="2"/>
    </row>
    <row r="490" spans="4:5" ht="15.75" customHeight="1">
      <c r="D490" s="1"/>
      <c r="E490" s="2"/>
    </row>
    <row r="491" spans="4:5" ht="15.75" customHeight="1">
      <c r="D491" s="1"/>
      <c r="E491" s="2"/>
    </row>
    <row r="492" spans="4:5" ht="15.75" customHeight="1">
      <c r="D492" s="1"/>
      <c r="E492" s="2"/>
    </row>
    <row r="493" spans="4:5" ht="15.75" customHeight="1">
      <c r="D493" s="1"/>
      <c r="E493" s="2"/>
    </row>
    <row r="494" spans="4:5" ht="15.75" customHeight="1">
      <c r="D494" s="1"/>
      <c r="E494" s="2"/>
    </row>
    <row r="495" spans="4:5" ht="15.75" customHeight="1">
      <c r="D495" s="1"/>
      <c r="E495" s="2"/>
    </row>
    <row r="496" spans="4:5" ht="15.75" customHeight="1">
      <c r="D496" s="1"/>
      <c r="E496" s="2"/>
    </row>
    <row r="497" spans="4:5" ht="15.75" customHeight="1">
      <c r="D497" s="1"/>
      <c r="E497" s="2"/>
    </row>
    <row r="498" spans="4:5" ht="15.75" customHeight="1">
      <c r="D498" s="1"/>
      <c r="E498" s="2"/>
    </row>
    <row r="499" spans="4:5" ht="15.75" customHeight="1">
      <c r="D499" s="1"/>
      <c r="E499" s="2"/>
    </row>
    <row r="500" spans="4:5" ht="15.75" customHeight="1">
      <c r="D500" s="1"/>
      <c r="E500" s="2"/>
    </row>
    <row r="501" spans="4:5" ht="15.75" customHeight="1">
      <c r="D501" s="1"/>
      <c r="E501" s="2"/>
    </row>
    <row r="502" spans="4:5" ht="15.75" customHeight="1">
      <c r="D502" s="1"/>
      <c r="E502" s="2"/>
    </row>
    <row r="503" spans="4:5" ht="15.75" customHeight="1">
      <c r="D503" s="1"/>
      <c r="E503" s="2"/>
    </row>
    <row r="504" spans="4:5" ht="15.75" customHeight="1">
      <c r="D504" s="1"/>
      <c r="E504" s="2"/>
    </row>
    <row r="505" spans="4:5" ht="15.75" customHeight="1">
      <c r="D505" s="1"/>
      <c r="E505" s="2"/>
    </row>
    <row r="506" spans="4:5" ht="15.75" customHeight="1">
      <c r="D506" s="1"/>
      <c r="E506" s="2"/>
    </row>
    <row r="507" spans="4:5" ht="15.75" customHeight="1">
      <c r="D507" s="1"/>
      <c r="E507" s="2"/>
    </row>
    <row r="508" spans="4:5" ht="15.75" customHeight="1">
      <c r="D508" s="1"/>
      <c r="E508" s="2"/>
    </row>
    <row r="509" spans="4:5" ht="15.75" customHeight="1">
      <c r="D509" s="1"/>
      <c r="E509" s="2"/>
    </row>
    <row r="510" spans="4:5" ht="15.75" customHeight="1">
      <c r="D510" s="1"/>
      <c r="E510" s="2"/>
    </row>
    <row r="511" spans="4:5" ht="15.75" customHeight="1">
      <c r="D511" s="1"/>
      <c r="E511" s="2"/>
    </row>
    <row r="512" spans="4:5" ht="15.75" customHeight="1">
      <c r="D512" s="1"/>
      <c r="E512" s="2"/>
    </row>
    <row r="513" spans="4:5" ht="15.75" customHeight="1">
      <c r="D513" s="1"/>
      <c r="E513" s="2"/>
    </row>
    <row r="514" spans="4:5" ht="15.75" customHeight="1">
      <c r="D514" s="1"/>
      <c r="E514" s="2"/>
    </row>
    <row r="515" spans="4:5" ht="15.75" customHeight="1">
      <c r="D515" s="1"/>
      <c r="E515" s="2"/>
    </row>
    <row r="516" spans="4:5" ht="15.75" customHeight="1">
      <c r="D516" s="1"/>
      <c r="E516" s="2"/>
    </row>
    <row r="517" spans="4:5" ht="15.75" customHeight="1">
      <c r="D517" s="1"/>
      <c r="E517" s="2"/>
    </row>
    <row r="518" spans="4:5" ht="15.75" customHeight="1">
      <c r="D518" s="1"/>
      <c r="E518" s="2"/>
    </row>
    <row r="519" spans="4:5" ht="15.75" customHeight="1">
      <c r="D519" s="1"/>
      <c r="E519" s="2"/>
    </row>
    <row r="520" spans="4:5" ht="15.75" customHeight="1">
      <c r="D520" s="1"/>
      <c r="E520" s="2"/>
    </row>
    <row r="521" spans="4:5" ht="15.75" customHeight="1">
      <c r="D521" s="1"/>
      <c r="E521" s="2"/>
    </row>
    <row r="522" spans="4:5" ht="15.75" customHeight="1">
      <c r="D522" s="1"/>
      <c r="E522" s="2"/>
    </row>
    <row r="523" spans="4:5" ht="15.75" customHeight="1">
      <c r="D523" s="1"/>
      <c r="E523" s="2"/>
    </row>
    <row r="524" spans="4:5" ht="15.75" customHeight="1">
      <c r="D524" s="1"/>
      <c r="E524" s="2"/>
    </row>
    <row r="525" spans="4:5" ht="15.75" customHeight="1">
      <c r="D525" s="1"/>
      <c r="E525" s="2"/>
    </row>
    <row r="526" spans="4:5" ht="15.75" customHeight="1">
      <c r="D526" s="1"/>
      <c r="E526" s="2"/>
    </row>
    <row r="527" spans="4:5" ht="15.75" customHeight="1">
      <c r="D527" s="1"/>
      <c r="E527" s="2"/>
    </row>
    <row r="528" spans="4:5" ht="15.75" customHeight="1">
      <c r="D528" s="1"/>
      <c r="E528" s="2"/>
    </row>
    <row r="529" spans="4:5" ht="15.75" customHeight="1">
      <c r="D529" s="1"/>
      <c r="E529" s="2"/>
    </row>
    <row r="530" spans="4:5" ht="15.75" customHeight="1">
      <c r="D530" s="1"/>
      <c r="E530" s="2"/>
    </row>
    <row r="531" spans="4:5" ht="15.75" customHeight="1">
      <c r="D531" s="1"/>
      <c r="E531" s="2"/>
    </row>
    <row r="532" spans="4:5" ht="15.75" customHeight="1">
      <c r="D532" s="1"/>
      <c r="E532" s="2"/>
    </row>
    <row r="533" spans="4:5" ht="15.75" customHeight="1">
      <c r="D533" s="1"/>
      <c r="E533" s="2"/>
    </row>
    <row r="534" spans="4:5" ht="15.75" customHeight="1">
      <c r="D534" s="1"/>
      <c r="E534" s="2"/>
    </row>
    <row r="535" spans="4:5" ht="15.75" customHeight="1">
      <c r="D535" s="1"/>
      <c r="E535" s="2"/>
    </row>
    <row r="536" spans="4:5" ht="15.75" customHeight="1">
      <c r="D536" s="1"/>
      <c r="E536" s="2"/>
    </row>
    <row r="537" spans="4:5" ht="15.75" customHeight="1">
      <c r="D537" s="1"/>
      <c r="E537" s="2"/>
    </row>
    <row r="538" spans="4:5" ht="15.75" customHeight="1">
      <c r="D538" s="1"/>
      <c r="E538" s="2"/>
    </row>
    <row r="539" spans="4:5" ht="15.75" customHeight="1">
      <c r="D539" s="1"/>
      <c r="E539" s="2"/>
    </row>
    <row r="540" spans="4:5" ht="15.75" customHeight="1">
      <c r="D540" s="1"/>
      <c r="E540" s="2"/>
    </row>
    <row r="541" spans="4:5" ht="15.75" customHeight="1">
      <c r="D541" s="1"/>
      <c r="E541" s="2"/>
    </row>
    <row r="542" spans="4:5" ht="15.75" customHeight="1">
      <c r="D542" s="1"/>
      <c r="E542" s="2"/>
    </row>
    <row r="543" spans="4:5" ht="15.75" customHeight="1">
      <c r="D543" s="1"/>
      <c r="E543" s="2"/>
    </row>
    <row r="544" spans="4:5" ht="15.75" customHeight="1">
      <c r="D544" s="1"/>
      <c r="E544" s="2"/>
    </row>
    <row r="545" spans="4:5" ht="15.75" customHeight="1">
      <c r="D545" s="1"/>
      <c r="E545" s="2"/>
    </row>
    <row r="546" spans="4:5" ht="15.75" customHeight="1">
      <c r="D546" s="1"/>
      <c r="E546" s="2"/>
    </row>
    <row r="547" spans="4:5" ht="15.75" customHeight="1">
      <c r="D547" s="1"/>
      <c r="E547" s="2"/>
    </row>
    <row r="548" spans="4:5" ht="15.75" customHeight="1">
      <c r="D548" s="1"/>
      <c r="E548" s="2"/>
    </row>
    <row r="549" spans="4:5" ht="15.75" customHeight="1">
      <c r="D549" s="1"/>
      <c r="E549" s="2"/>
    </row>
    <row r="550" spans="4:5" ht="15.75" customHeight="1">
      <c r="D550" s="1"/>
      <c r="E550" s="2"/>
    </row>
    <row r="551" spans="4:5" ht="15.75" customHeight="1">
      <c r="D551" s="1"/>
      <c r="E551" s="2"/>
    </row>
    <row r="552" spans="4:5" ht="15.75" customHeight="1">
      <c r="D552" s="1"/>
      <c r="E552" s="2"/>
    </row>
    <row r="553" spans="4:5" ht="15.75" customHeight="1">
      <c r="D553" s="1"/>
      <c r="E553" s="2"/>
    </row>
    <row r="554" spans="4:5" ht="15.75" customHeight="1">
      <c r="D554" s="1"/>
      <c r="E554" s="2"/>
    </row>
    <row r="555" spans="4:5" ht="15.75" customHeight="1">
      <c r="D555" s="1"/>
      <c r="E555" s="2"/>
    </row>
    <row r="556" spans="4:5" ht="15.75" customHeight="1">
      <c r="D556" s="1"/>
      <c r="E556" s="2"/>
    </row>
    <row r="557" spans="4:5" ht="15.75" customHeight="1">
      <c r="D557" s="1"/>
      <c r="E557" s="2"/>
    </row>
    <row r="558" spans="4:5" ht="15.75" customHeight="1">
      <c r="D558" s="1"/>
      <c r="E558" s="2"/>
    </row>
    <row r="559" spans="4:5" ht="15.75" customHeight="1">
      <c r="D559" s="1"/>
      <c r="E559" s="2"/>
    </row>
    <row r="560" spans="4:5" ht="15.75" customHeight="1">
      <c r="D560" s="1"/>
      <c r="E560" s="2"/>
    </row>
    <row r="561" spans="4:5" ht="15.75" customHeight="1">
      <c r="D561" s="1"/>
      <c r="E561" s="2"/>
    </row>
    <row r="562" spans="4:5" ht="15.75" customHeight="1">
      <c r="D562" s="1"/>
      <c r="E562" s="2"/>
    </row>
    <row r="563" spans="4:5" ht="15.75" customHeight="1">
      <c r="D563" s="1"/>
      <c r="E563" s="2"/>
    </row>
    <row r="564" spans="4:5" ht="15.75" customHeight="1">
      <c r="D564" s="1"/>
      <c r="E564" s="2"/>
    </row>
    <row r="565" spans="4:5" ht="15.75" customHeight="1">
      <c r="D565" s="1"/>
      <c r="E565" s="2"/>
    </row>
    <row r="566" spans="4:5" ht="15.75" customHeight="1">
      <c r="D566" s="1"/>
      <c r="E566" s="2"/>
    </row>
    <row r="567" spans="4:5" ht="15.75" customHeight="1">
      <c r="D567" s="1"/>
      <c r="E567" s="2"/>
    </row>
    <row r="568" spans="4:5" ht="15.75" customHeight="1">
      <c r="D568" s="1"/>
      <c r="E568" s="2"/>
    </row>
    <row r="569" spans="4:5" ht="15.75" customHeight="1">
      <c r="D569" s="1"/>
      <c r="E569" s="2"/>
    </row>
    <row r="570" spans="4:5" ht="15.75" customHeight="1">
      <c r="D570" s="1"/>
      <c r="E570" s="2"/>
    </row>
    <row r="571" spans="4:5" ht="15.75" customHeight="1">
      <c r="D571" s="1"/>
      <c r="E571" s="2"/>
    </row>
    <row r="572" spans="4:5" ht="15.75" customHeight="1">
      <c r="D572" s="1"/>
      <c r="E572" s="2"/>
    </row>
    <row r="573" spans="4:5" ht="15.75" customHeight="1">
      <c r="D573" s="1"/>
      <c r="E573" s="2"/>
    </row>
    <row r="574" spans="4:5" ht="15.75" customHeight="1">
      <c r="D574" s="1"/>
      <c r="E574" s="2"/>
    </row>
    <row r="575" spans="4:5" ht="15.75" customHeight="1">
      <c r="D575" s="1"/>
      <c r="E575" s="2"/>
    </row>
    <row r="576" spans="4:5" ht="15.75" customHeight="1">
      <c r="D576" s="1"/>
      <c r="E576" s="2"/>
    </row>
    <row r="577" spans="4:5" ht="15.75" customHeight="1">
      <c r="D577" s="1"/>
      <c r="E577" s="2"/>
    </row>
    <row r="578" spans="4:5" ht="15.75" customHeight="1">
      <c r="D578" s="1"/>
      <c r="E578" s="2"/>
    </row>
    <row r="579" spans="4:5" ht="15.75" customHeight="1">
      <c r="D579" s="1"/>
      <c r="E579" s="2"/>
    </row>
    <row r="580" spans="4:5" ht="15.75" customHeight="1">
      <c r="D580" s="1"/>
      <c r="E580" s="2"/>
    </row>
    <row r="581" spans="4:5" ht="15.75" customHeight="1">
      <c r="D581" s="1"/>
      <c r="E581" s="2"/>
    </row>
    <row r="582" spans="4:5" ht="15.75" customHeight="1">
      <c r="D582" s="1"/>
      <c r="E582" s="2"/>
    </row>
    <row r="583" spans="4:5" ht="15.75" customHeight="1">
      <c r="D583" s="1"/>
      <c r="E583" s="2"/>
    </row>
    <row r="584" spans="4:5" ht="15.75" customHeight="1">
      <c r="D584" s="1"/>
      <c r="E584" s="2"/>
    </row>
    <row r="585" spans="4:5" ht="15.75" customHeight="1">
      <c r="D585" s="1"/>
      <c r="E585" s="2"/>
    </row>
    <row r="586" spans="4:5" ht="15.75" customHeight="1">
      <c r="D586" s="1"/>
      <c r="E586" s="2"/>
    </row>
    <row r="587" spans="4:5" ht="15.75" customHeight="1">
      <c r="D587" s="1"/>
      <c r="E587" s="2"/>
    </row>
    <row r="588" spans="4:5" ht="15.75" customHeight="1">
      <c r="D588" s="1"/>
      <c r="E588" s="2"/>
    </row>
    <row r="589" spans="4:5" ht="15.75" customHeight="1">
      <c r="D589" s="1"/>
      <c r="E589" s="2"/>
    </row>
    <row r="590" spans="4:5" ht="15.75" customHeight="1">
      <c r="D590" s="1"/>
      <c r="E590" s="2"/>
    </row>
    <row r="591" spans="4:5" ht="15.75" customHeight="1">
      <c r="D591" s="1"/>
      <c r="E591" s="2"/>
    </row>
    <row r="592" spans="4:5" ht="15.75" customHeight="1">
      <c r="D592" s="1"/>
      <c r="E592" s="2"/>
    </row>
    <row r="593" spans="4:5" ht="15.75" customHeight="1">
      <c r="D593" s="1"/>
      <c r="E593" s="2"/>
    </row>
    <row r="594" spans="4:5" ht="15.75" customHeight="1">
      <c r="D594" s="1"/>
      <c r="E594" s="2"/>
    </row>
    <row r="595" spans="4:5" ht="15.75" customHeight="1">
      <c r="D595" s="1"/>
      <c r="E595" s="2"/>
    </row>
    <row r="596" spans="4:5" ht="15.75" customHeight="1">
      <c r="D596" s="1"/>
      <c r="E596" s="2"/>
    </row>
    <row r="597" spans="4:5" ht="15.75" customHeight="1">
      <c r="D597" s="1"/>
      <c r="E597" s="2"/>
    </row>
    <row r="598" spans="4:5" ht="15.75" customHeight="1">
      <c r="D598" s="1"/>
      <c r="E598" s="2"/>
    </row>
    <row r="599" spans="4:5" ht="15.75" customHeight="1">
      <c r="D599" s="1"/>
      <c r="E599" s="2"/>
    </row>
    <row r="600" spans="4:5" ht="15.75" customHeight="1">
      <c r="D600" s="1"/>
      <c r="E600" s="2"/>
    </row>
    <row r="601" spans="4:5" ht="15.75" customHeight="1">
      <c r="D601" s="1"/>
      <c r="E601" s="2"/>
    </row>
    <row r="602" spans="4:5" ht="15.75" customHeight="1">
      <c r="D602" s="1"/>
      <c r="E602" s="2"/>
    </row>
    <row r="603" spans="4:5" ht="15.75" customHeight="1">
      <c r="D603" s="1"/>
      <c r="E603" s="2"/>
    </row>
    <row r="604" spans="4:5" ht="15.75" customHeight="1">
      <c r="D604" s="1"/>
      <c r="E604" s="2"/>
    </row>
    <row r="605" spans="4:5" ht="15.75" customHeight="1">
      <c r="D605" s="1"/>
      <c r="E605" s="2"/>
    </row>
    <row r="606" spans="4:5" ht="15.75" customHeight="1">
      <c r="D606" s="1"/>
      <c r="E606" s="2"/>
    </row>
    <row r="607" spans="4:5" ht="15.75" customHeight="1">
      <c r="D607" s="1"/>
      <c r="E607" s="2"/>
    </row>
    <row r="608" spans="4:5" ht="15.75" customHeight="1">
      <c r="D608" s="1"/>
      <c r="E608" s="2"/>
    </row>
    <row r="609" spans="4:5" ht="15.75" customHeight="1">
      <c r="D609" s="1"/>
      <c r="E609" s="2"/>
    </row>
    <row r="610" spans="4:5" ht="15.75" customHeight="1">
      <c r="D610" s="1"/>
      <c r="E610" s="2"/>
    </row>
    <row r="611" spans="4:5" ht="15.75" customHeight="1">
      <c r="D611" s="1"/>
      <c r="E611" s="2"/>
    </row>
    <row r="612" spans="4:5" ht="15.75" customHeight="1">
      <c r="D612" s="1"/>
      <c r="E612" s="2"/>
    </row>
    <row r="613" spans="4:5" ht="15.75" customHeight="1">
      <c r="D613" s="1"/>
      <c r="E613" s="2"/>
    </row>
    <row r="614" spans="4:5" ht="15.75" customHeight="1">
      <c r="D614" s="1"/>
      <c r="E614" s="2"/>
    </row>
    <row r="615" spans="4:5" ht="15.75" customHeight="1">
      <c r="D615" s="1"/>
      <c r="E615" s="2"/>
    </row>
    <row r="616" spans="4:5" ht="15.75" customHeight="1">
      <c r="D616" s="1"/>
      <c r="E616" s="2"/>
    </row>
    <row r="617" spans="4:5" ht="15.75" customHeight="1">
      <c r="D617" s="1"/>
      <c r="E617" s="2"/>
    </row>
    <row r="618" spans="4:5" ht="15.75" customHeight="1">
      <c r="D618" s="1"/>
      <c r="E618" s="2"/>
    </row>
    <row r="619" spans="4:5" ht="15.75" customHeight="1">
      <c r="D619" s="1"/>
      <c r="E619" s="2"/>
    </row>
    <row r="620" spans="4:5" ht="15.75" customHeight="1">
      <c r="D620" s="1"/>
      <c r="E620" s="2"/>
    </row>
    <row r="621" spans="4:5" ht="15.75" customHeight="1">
      <c r="D621" s="1"/>
      <c r="E621" s="2"/>
    </row>
    <row r="622" spans="4:5" ht="15.75" customHeight="1">
      <c r="D622" s="1"/>
      <c r="E622" s="2"/>
    </row>
    <row r="623" spans="4:5" ht="15.75" customHeight="1">
      <c r="D623" s="1"/>
      <c r="E623" s="2"/>
    </row>
    <row r="624" spans="4:5" ht="15.75" customHeight="1">
      <c r="D624" s="1"/>
      <c r="E624" s="2"/>
    </row>
    <row r="625" spans="4:5" ht="15.75" customHeight="1">
      <c r="D625" s="1"/>
      <c r="E625" s="2"/>
    </row>
    <row r="626" spans="4:5" ht="15.75" customHeight="1">
      <c r="D626" s="1"/>
      <c r="E626" s="2"/>
    </row>
    <row r="627" spans="4:5" ht="15.75" customHeight="1">
      <c r="D627" s="1"/>
      <c r="E627" s="2"/>
    </row>
    <row r="628" spans="4:5" ht="15.75" customHeight="1">
      <c r="D628" s="1"/>
      <c r="E628" s="2"/>
    </row>
    <row r="629" spans="4:5" ht="15.75" customHeight="1">
      <c r="D629" s="1"/>
      <c r="E629" s="2"/>
    </row>
    <row r="630" spans="4:5" ht="15.75" customHeight="1">
      <c r="D630" s="1"/>
      <c r="E630" s="2"/>
    </row>
    <row r="631" spans="4:5" ht="15.75" customHeight="1">
      <c r="D631" s="1"/>
      <c r="E631" s="2"/>
    </row>
    <row r="632" spans="4:5" ht="15.75" customHeight="1">
      <c r="D632" s="1"/>
      <c r="E632" s="2"/>
    </row>
    <row r="633" spans="4:5" ht="15.75" customHeight="1">
      <c r="D633" s="1"/>
      <c r="E633" s="2"/>
    </row>
    <row r="634" spans="4:5" ht="15.75" customHeight="1">
      <c r="D634" s="1"/>
      <c r="E634" s="2"/>
    </row>
    <row r="635" spans="4:5" ht="15.75" customHeight="1">
      <c r="D635" s="1"/>
      <c r="E635" s="2"/>
    </row>
    <row r="636" spans="4:5" ht="15.75" customHeight="1">
      <c r="D636" s="1"/>
      <c r="E636" s="2"/>
    </row>
    <row r="637" spans="4:5" ht="15.75" customHeight="1">
      <c r="D637" s="1"/>
      <c r="E637" s="2"/>
    </row>
    <row r="638" spans="4:5" ht="15.75" customHeight="1">
      <c r="D638" s="1"/>
      <c r="E638" s="2"/>
    </row>
    <row r="639" spans="4:5" ht="15.75" customHeight="1">
      <c r="D639" s="1"/>
      <c r="E639" s="2"/>
    </row>
    <row r="640" spans="4:5" ht="15.75" customHeight="1">
      <c r="D640" s="1"/>
      <c r="E640" s="2"/>
    </row>
    <row r="641" spans="4:5" ht="15.75" customHeight="1">
      <c r="D641" s="1"/>
      <c r="E641" s="2"/>
    </row>
    <row r="642" spans="4:5" ht="15.75" customHeight="1">
      <c r="D642" s="1"/>
      <c r="E642" s="2"/>
    </row>
    <row r="643" spans="4:5" ht="15.75" customHeight="1">
      <c r="D643" s="1"/>
      <c r="E643" s="2"/>
    </row>
    <row r="644" spans="4:5" ht="15.75" customHeight="1">
      <c r="D644" s="1"/>
      <c r="E644" s="2"/>
    </row>
    <row r="645" spans="4:5" ht="15.75" customHeight="1">
      <c r="D645" s="1"/>
      <c r="E645" s="2"/>
    </row>
    <row r="646" spans="4:5" ht="15.75" customHeight="1">
      <c r="D646" s="1"/>
      <c r="E646" s="2"/>
    </row>
    <row r="647" spans="4:5" ht="15.75" customHeight="1">
      <c r="D647" s="1"/>
      <c r="E647" s="2"/>
    </row>
    <row r="648" spans="4:5" ht="15.75" customHeight="1">
      <c r="D648" s="1"/>
      <c r="E648" s="2"/>
    </row>
    <row r="649" spans="4:5" ht="15.75" customHeight="1">
      <c r="D649" s="1"/>
      <c r="E649" s="2"/>
    </row>
    <row r="650" spans="4:5" ht="15.75" customHeight="1">
      <c r="D650" s="1"/>
      <c r="E650" s="2"/>
    </row>
    <row r="651" spans="4:5" ht="15.75" customHeight="1">
      <c r="D651" s="1"/>
      <c r="E651" s="2"/>
    </row>
    <row r="652" spans="4:5" ht="15.75" customHeight="1">
      <c r="D652" s="1"/>
      <c r="E652" s="2"/>
    </row>
    <row r="653" spans="4:5" ht="15.75" customHeight="1">
      <c r="D653" s="1"/>
      <c r="E653" s="2"/>
    </row>
    <row r="654" spans="4:5" ht="15.75" customHeight="1">
      <c r="D654" s="1"/>
      <c r="E654" s="2"/>
    </row>
    <row r="655" spans="4:5" ht="15.75" customHeight="1">
      <c r="D655" s="1"/>
      <c r="E655" s="2"/>
    </row>
    <row r="656" spans="4:5" ht="15.75" customHeight="1">
      <c r="D656" s="1"/>
      <c r="E656" s="2"/>
    </row>
    <row r="657" spans="4:5" ht="15.75" customHeight="1">
      <c r="D657" s="1"/>
      <c r="E657" s="2"/>
    </row>
    <row r="658" spans="4:5" ht="15.75" customHeight="1">
      <c r="D658" s="1"/>
      <c r="E658" s="2"/>
    </row>
    <row r="659" spans="4:5" ht="15.75" customHeight="1">
      <c r="D659" s="1"/>
      <c r="E659" s="2"/>
    </row>
    <row r="660" spans="4:5" ht="15.75" customHeight="1">
      <c r="D660" s="1"/>
      <c r="E660" s="2"/>
    </row>
    <row r="661" spans="4:5" ht="15.75" customHeight="1">
      <c r="D661" s="1"/>
      <c r="E661" s="2"/>
    </row>
    <row r="662" spans="4:5" ht="15.75" customHeight="1">
      <c r="D662" s="1"/>
      <c r="E662" s="2"/>
    </row>
    <row r="663" spans="4:5" ht="15.75" customHeight="1">
      <c r="D663" s="1"/>
      <c r="E663" s="2"/>
    </row>
    <row r="664" spans="4:5" ht="15.75" customHeight="1">
      <c r="D664" s="1"/>
      <c r="E664" s="2"/>
    </row>
    <row r="665" spans="4:5" ht="15.75" customHeight="1">
      <c r="D665" s="1"/>
      <c r="E665" s="2"/>
    </row>
    <row r="666" spans="4:5" ht="15.75" customHeight="1">
      <c r="D666" s="1"/>
      <c r="E666" s="2"/>
    </row>
    <row r="667" spans="4:5" ht="15.75" customHeight="1">
      <c r="D667" s="1"/>
      <c r="E667" s="2"/>
    </row>
    <row r="668" spans="4:5" ht="15.75" customHeight="1">
      <c r="D668" s="1"/>
      <c r="E668" s="2"/>
    </row>
    <row r="669" spans="4:5" ht="15.75" customHeight="1">
      <c r="D669" s="1"/>
      <c r="E669" s="2"/>
    </row>
    <row r="670" spans="4:5" ht="15.75" customHeight="1">
      <c r="D670" s="1"/>
      <c r="E670" s="2"/>
    </row>
    <row r="671" spans="4:5" ht="15.75" customHeight="1">
      <c r="D671" s="1"/>
      <c r="E671" s="2"/>
    </row>
    <row r="672" spans="4:5" ht="15.75" customHeight="1">
      <c r="D672" s="1"/>
      <c r="E672" s="2"/>
    </row>
    <row r="673" spans="4:5" ht="15.75" customHeight="1">
      <c r="D673" s="1"/>
      <c r="E673" s="2"/>
    </row>
    <row r="674" spans="4:5" ht="15.75" customHeight="1">
      <c r="D674" s="1"/>
      <c r="E674" s="2"/>
    </row>
    <row r="675" spans="4:5" ht="15.75" customHeight="1">
      <c r="D675" s="1"/>
      <c r="E675" s="2"/>
    </row>
    <row r="676" spans="4:5" ht="15.75" customHeight="1">
      <c r="D676" s="1"/>
      <c r="E676" s="2"/>
    </row>
    <row r="677" spans="4:5" ht="15.75" customHeight="1">
      <c r="D677" s="1"/>
      <c r="E677" s="2"/>
    </row>
    <row r="678" spans="4:5" ht="15.75" customHeight="1">
      <c r="D678" s="1"/>
      <c r="E678" s="2"/>
    </row>
    <row r="679" spans="4:5" ht="15.75" customHeight="1">
      <c r="D679" s="1"/>
      <c r="E679" s="2"/>
    </row>
    <row r="680" spans="4:5" ht="15.75" customHeight="1">
      <c r="D680" s="1"/>
      <c r="E680" s="2"/>
    </row>
    <row r="681" spans="4:5" ht="15.75" customHeight="1">
      <c r="D681" s="1"/>
      <c r="E681" s="2"/>
    </row>
    <row r="682" spans="4:5" ht="15.75" customHeight="1">
      <c r="D682" s="1"/>
      <c r="E682" s="2"/>
    </row>
    <row r="683" spans="4:5" ht="15.75" customHeight="1">
      <c r="D683" s="1"/>
      <c r="E683" s="2"/>
    </row>
    <row r="684" spans="4:5" ht="15.75" customHeight="1">
      <c r="D684" s="1"/>
      <c r="E684" s="2"/>
    </row>
    <row r="685" spans="4:5" ht="15.75" customHeight="1">
      <c r="D685" s="1"/>
      <c r="E685" s="2"/>
    </row>
    <row r="686" spans="4:5" ht="15.75" customHeight="1">
      <c r="D686" s="1"/>
      <c r="E686" s="2"/>
    </row>
    <row r="687" spans="4:5" ht="15.75" customHeight="1">
      <c r="D687" s="1"/>
      <c r="E687" s="2"/>
    </row>
    <row r="688" spans="4:5" ht="15.75" customHeight="1">
      <c r="D688" s="1"/>
      <c r="E688" s="2"/>
    </row>
    <row r="689" spans="4:5" ht="15.75" customHeight="1">
      <c r="D689" s="1"/>
      <c r="E689" s="2"/>
    </row>
    <row r="690" spans="4:5" ht="15.75" customHeight="1">
      <c r="D690" s="1"/>
      <c r="E690" s="2"/>
    </row>
    <row r="691" spans="4:5" ht="15.75" customHeight="1">
      <c r="D691" s="1"/>
      <c r="E691" s="2"/>
    </row>
    <row r="692" spans="4:5" ht="15.75" customHeight="1">
      <c r="D692" s="1"/>
      <c r="E692" s="2"/>
    </row>
    <row r="693" spans="4:5" ht="15.75" customHeight="1">
      <c r="D693" s="1"/>
      <c r="E693" s="2"/>
    </row>
    <row r="694" spans="4:5" ht="15.75" customHeight="1">
      <c r="D694" s="1"/>
      <c r="E694" s="2"/>
    </row>
    <row r="695" spans="4:5" ht="15.75" customHeight="1">
      <c r="D695" s="1"/>
      <c r="E695" s="2"/>
    </row>
    <row r="696" spans="4:5" ht="15.75" customHeight="1">
      <c r="D696" s="1"/>
      <c r="E696" s="2"/>
    </row>
    <row r="697" spans="4:5" ht="15.75" customHeight="1">
      <c r="D697" s="1"/>
      <c r="E697" s="2"/>
    </row>
    <row r="698" spans="4:5" ht="15.75" customHeight="1">
      <c r="D698" s="1"/>
      <c r="E698" s="2"/>
    </row>
    <row r="699" spans="4:5" ht="15.75" customHeight="1">
      <c r="D699" s="1"/>
      <c r="E699" s="2"/>
    </row>
    <row r="700" spans="4:5" ht="15.75" customHeight="1">
      <c r="D700" s="1"/>
      <c r="E700" s="2"/>
    </row>
    <row r="701" spans="4:5" ht="15.75" customHeight="1">
      <c r="D701" s="1"/>
      <c r="E701" s="2"/>
    </row>
    <row r="702" spans="4:5" ht="15.75" customHeight="1">
      <c r="D702" s="1"/>
      <c r="E702" s="2"/>
    </row>
    <row r="703" spans="4:5" ht="15.75" customHeight="1">
      <c r="D703" s="1"/>
      <c r="E703" s="2"/>
    </row>
    <row r="704" spans="4:5" ht="15.75" customHeight="1">
      <c r="D704" s="1"/>
      <c r="E704" s="2"/>
    </row>
    <row r="705" spans="4:5" ht="15.75" customHeight="1">
      <c r="D705" s="1"/>
      <c r="E705" s="2"/>
    </row>
    <row r="706" spans="4:5" ht="15.75" customHeight="1">
      <c r="D706" s="1"/>
      <c r="E706" s="2"/>
    </row>
    <row r="707" spans="4:5" ht="15.75" customHeight="1">
      <c r="D707" s="1"/>
      <c r="E707" s="2"/>
    </row>
    <row r="708" spans="4:5" ht="15.75" customHeight="1">
      <c r="D708" s="1"/>
      <c r="E708" s="2"/>
    </row>
    <row r="709" spans="4:5" ht="15.75" customHeight="1">
      <c r="D709" s="1"/>
      <c r="E709" s="2"/>
    </row>
    <row r="710" spans="4:5" ht="15.75" customHeight="1">
      <c r="D710" s="1"/>
      <c r="E710" s="2"/>
    </row>
    <row r="711" spans="4:5" ht="15.75" customHeight="1">
      <c r="D711" s="1"/>
      <c r="E711" s="2"/>
    </row>
    <row r="712" spans="4:5" ht="15.75" customHeight="1">
      <c r="D712" s="1"/>
      <c r="E712" s="2"/>
    </row>
    <row r="713" spans="4:5" ht="15.75" customHeight="1">
      <c r="D713" s="1"/>
      <c r="E713" s="2"/>
    </row>
    <row r="714" spans="4:5" ht="15.75" customHeight="1">
      <c r="D714" s="1"/>
      <c r="E714" s="2"/>
    </row>
    <row r="715" spans="4:5" ht="15.75" customHeight="1">
      <c r="D715" s="1"/>
      <c r="E715" s="2"/>
    </row>
    <row r="716" spans="4:5" ht="15.75" customHeight="1">
      <c r="D716" s="1"/>
      <c r="E716" s="2"/>
    </row>
    <row r="717" spans="4:5" ht="15.75" customHeight="1">
      <c r="D717" s="1"/>
      <c r="E717" s="2"/>
    </row>
    <row r="718" spans="4:5" ht="15.75" customHeight="1">
      <c r="D718" s="1"/>
      <c r="E718" s="2"/>
    </row>
    <row r="719" spans="4:5" ht="15.75" customHeight="1">
      <c r="D719" s="1"/>
      <c r="E719" s="2"/>
    </row>
    <row r="720" spans="4:5" ht="15.75" customHeight="1">
      <c r="D720" s="1"/>
      <c r="E720" s="2"/>
    </row>
    <row r="721" spans="4:5" ht="15.75" customHeight="1">
      <c r="D721" s="1"/>
      <c r="E721" s="2"/>
    </row>
    <row r="722" spans="4:5" ht="15.75" customHeight="1">
      <c r="D722" s="1"/>
      <c r="E722" s="2"/>
    </row>
    <row r="723" spans="4:5" ht="15.75" customHeight="1">
      <c r="D723" s="1"/>
      <c r="E723" s="2"/>
    </row>
    <row r="724" spans="4:5" ht="15.75" customHeight="1">
      <c r="D724" s="1"/>
      <c r="E724" s="2"/>
    </row>
    <row r="725" spans="4:5" ht="15.75" customHeight="1">
      <c r="D725" s="1"/>
      <c r="E725" s="2"/>
    </row>
    <row r="726" spans="4:5" ht="15.75" customHeight="1">
      <c r="D726" s="1"/>
      <c r="E726" s="2"/>
    </row>
    <row r="727" spans="4:5" ht="15.75" customHeight="1">
      <c r="D727" s="1"/>
      <c r="E727" s="2"/>
    </row>
    <row r="728" spans="4:5" ht="15.75" customHeight="1">
      <c r="D728" s="1"/>
      <c r="E728" s="2"/>
    </row>
    <row r="729" spans="4:5" ht="15.75" customHeight="1">
      <c r="D729" s="1"/>
      <c r="E729" s="2"/>
    </row>
    <row r="730" spans="4:5" ht="15.75" customHeight="1">
      <c r="D730" s="1"/>
      <c r="E730" s="2"/>
    </row>
    <row r="731" spans="4:5" ht="15.75" customHeight="1">
      <c r="D731" s="1"/>
      <c r="E731" s="2"/>
    </row>
    <row r="732" spans="4:5" ht="15.75" customHeight="1">
      <c r="D732" s="1"/>
      <c r="E732" s="2"/>
    </row>
    <row r="733" spans="4:5" ht="15.75" customHeight="1">
      <c r="D733" s="1"/>
      <c r="E733" s="2"/>
    </row>
    <row r="734" spans="4:5" ht="15.75" customHeight="1">
      <c r="D734" s="1"/>
      <c r="E734" s="2"/>
    </row>
    <row r="735" spans="4:5" ht="15.75" customHeight="1">
      <c r="D735" s="1"/>
      <c r="E735" s="2"/>
    </row>
    <row r="736" spans="4:5" ht="15.75" customHeight="1">
      <c r="D736" s="1"/>
      <c r="E736" s="2"/>
    </row>
    <row r="737" spans="4:5" ht="15.75" customHeight="1">
      <c r="D737" s="1"/>
      <c r="E737" s="2"/>
    </row>
    <row r="738" spans="4:5" ht="15.75" customHeight="1">
      <c r="D738" s="1"/>
      <c r="E738" s="2"/>
    </row>
    <row r="739" spans="4:5" ht="15.75" customHeight="1">
      <c r="D739" s="1"/>
      <c r="E739" s="2"/>
    </row>
    <row r="740" spans="4:5" ht="15.75" customHeight="1">
      <c r="D740" s="1"/>
      <c r="E740" s="2"/>
    </row>
    <row r="741" spans="4:5" ht="15.75" customHeight="1">
      <c r="D741" s="1"/>
      <c r="E741" s="2"/>
    </row>
    <row r="742" spans="4:5" ht="15.75" customHeight="1">
      <c r="D742" s="1"/>
      <c r="E742" s="2"/>
    </row>
    <row r="743" spans="4:5" ht="15.75" customHeight="1">
      <c r="D743" s="1"/>
      <c r="E743" s="2"/>
    </row>
    <row r="744" spans="4:5" ht="15.75" customHeight="1">
      <c r="D744" s="1"/>
      <c r="E744" s="2"/>
    </row>
    <row r="745" spans="4:5" ht="15.75" customHeight="1">
      <c r="D745" s="1"/>
      <c r="E745" s="2"/>
    </row>
    <row r="746" spans="4:5" ht="15.75" customHeight="1">
      <c r="D746" s="1"/>
      <c r="E746" s="2"/>
    </row>
    <row r="747" spans="4:5" ht="15.75" customHeight="1">
      <c r="D747" s="1"/>
      <c r="E747" s="2"/>
    </row>
    <row r="748" spans="4:5" ht="15.75" customHeight="1">
      <c r="D748" s="1"/>
      <c r="E748" s="2"/>
    </row>
    <row r="749" spans="4:5" ht="15.75" customHeight="1">
      <c r="D749" s="1"/>
      <c r="E749" s="2"/>
    </row>
    <row r="750" spans="4:5" ht="15.75" customHeight="1">
      <c r="D750" s="1"/>
      <c r="E750" s="2"/>
    </row>
    <row r="751" spans="4:5" ht="15.75" customHeight="1">
      <c r="D751" s="1"/>
      <c r="E751" s="2"/>
    </row>
    <row r="752" spans="4:5" ht="15.75" customHeight="1">
      <c r="D752" s="1"/>
      <c r="E752" s="2"/>
    </row>
    <row r="753" spans="4:5" ht="15.75" customHeight="1">
      <c r="D753" s="1"/>
      <c r="E753" s="2"/>
    </row>
    <row r="754" spans="4:5" ht="15.75" customHeight="1">
      <c r="D754" s="1"/>
      <c r="E754" s="2"/>
    </row>
    <row r="755" spans="4:5" ht="15.75" customHeight="1">
      <c r="D755" s="1"/>
      <c r="E755" s="2"/>
    </row>
    <row r="756" spans="4:5" ht="15.75" customHeight="1">
      <c r="D756" s="1"/>
      <c r="E756" s="2"/>
    </row>
    <row r="757" spans="4:5" ht="15.75" customHeight="1">
      <c r="D757" s="1"/>
      <c r="E757" s="2"/>
    </row>
    <row r="758" spans="4:5" ht="15.75" customHeight="1">
      <c r="D758" s="1"/>
      <c r="E758" s="2"/>
    </row>
    <row r="759" spans="4:5" ht="15.75" customHeight="1">
      <c r="D759" s="1"/>
      <c r="E759" s="2"/>
    </row>
    <row r="760" spans="4:5" ht="15.75" customHeight="1">
      <c r="D760" s="1"/>
      <c r="E760" s="2"/>
    </row>
    <row r="761" spans="4:5" ht="15.75" customHeight="1">
      <c r="D761" s="1"/>
      <c r="E761" s="2"/>
    </row>
    <row r="762" spans="4:5" ht="15.75" customHeight="1">
      <c r="D762" s="1"/>
      <c r="E762" s="2"/>
    </row>
    <row r="763" spans="4:5" ht="15.75" customHeight="1">
      <c r="D763" s="1"/>
      <c r="E763" s="2"/>
    </row>
    <row r="764" spans="4:5" ht="15.75" customHeight="1">
      <c r="D764" s="1"/>
      <c r="E764" s="2"/>
    </row>
    <row r="765" spans="4:5" ht="15.75" customHeight="1">
      <c r="D765" s="1"/>
      <c r="E765" s="2"/>
    </row>
    <row r="766" spans="4:5" ht="15.75" customHeight="1">
      <c r="D766" s="1"/>
      <c r="E766" s="2"/>
    </row>
    <row r="767" spans="4:5" ht="15.75" customHeight="1">
      <c r="D767" s="1"/>
      <c r="E767" s="2"/>
    </row>
    <row r="768" spans="4:5" ht="15.75" customHeight="1">
      <c r="D768" s="1"/>
      <c r="E768" s="2"/>
    </row>
    <row r="769" spans="4:5" ht="15.75" customHeight="1">
      <c r="D769" s="1"/>
      <c r="E769" s="2"/>
    </row>
    <row r="770" spans="4:5" ht="15.75" customHeight="1">
      <c r="D770" s="1"/>
      <c r="E770" s="2"/>
    </row>
    <row r="771" spans="4:5" ht="15.75" customHeight="1">
      <c r="D771" s="1"/>
      <c r="E771" s="2"/>
    </row>
    <row r="772" spans="4:5" ht="15.75" customHeight="1">
      <c r="D772" s="1"/>
      <c r="E772" s="2"/>
    </row>
    <row r="773" spans="4:5" ht="15.75" customHeight="1">
      <c r="D773" s="1"/>
      <c r="E773" s="2"/>
    </row>
    <row r="774" spans="4:5" ht="15.75" customHeight="1">
      <c r="D774" s="1"/>
      <c r="E774" s="2"/>
    </row>
    <row r="775" spans="4:5" ht="15.75" customHeight="1">
      <c r="D775" s="1"/>
      <c r="E775" s="2"/>
    </row>
    <row r="776" spans="4:5" ht="15.75" customHeight="1">
      <c r="D776" s="1"/>
      <c r="E776" s="2"/>
    </row>
    <row r="777" spans="4:5" ht="15.75" customHeight="1">
      <c r="D777" s="1"/>
      <c r="E777" s="2"/>
    </row>
    <row r="778" spans="4:5" ht="15.75" customHeight="1">
      <c r="D778" s="1"/>
      <c r="E778" s="2"/>
    </row>
    <row r="779" spans="4:5" ht="15.75" customHeight="1">
      <c r="D779" s="1"/>
      <c r="E779" s="2"/>
    </row>
    <row r="780" spans="4:5" ht="15.75" customHeight="1">
      <c r="D780" s="1"/>
      <c r="E780" s="2"/>
    </row>
    <row r="781" spans="4:5" ht="15.75" customHeight="1">
      <c r="D781" s="1"/>
      <c r="E781" s="2"/>
    </row>
    <row r="782" spans="4:5" ht="15.75" customHeight="1">
      <c r="D782" s="1"/>
      <c r="E782" s="2"/>
    </row>
    <row r="783" spans="4:5" ht="15.75" customHeight="1">
      <c r="D783" s="1"/>
      <c r="E783" s="2"/>
    </row>
    <row r="784" spans="4:5" ht="15.75" customHeight="1">
      <c r="D784" s="1"/>
      <c r="E784" s="2"/>
    </row>
    <row r="785" spans="4:5" ht="15.75" customHeight="1">
      <c r="D785" s="1"/>
      <c r="E785" s="2"/>
    </row>
    <row r="786" spans="4:5" ht="15.75" customHeight="1">
      <c r="D786" s="1"/>
      <c r="E786" s="2"/>
    </row>
    <row r="787" spans="4:5" ht="15.75" customHeight="1">
      <c r="D787" s="1"/>
      <c r="E787" s="2"/>
    </row>
    <row r="788" spans="4:5" ht="15.75" customHeight="1">
      <c r="D788" s="1"/>
      <c r="E788" s="2"/>
    </row>
    <row r="789" spans="4:5" ht="15.75" customHeight="1">
      <c r="D789" s="1"/>
      <c r="E789" s="2"/>
    </row>
    <row r="790" spans="4:5" ht="15.75" customHeight="1">
      <c r="D790" s="1"/>
      <c r="E790" s="2"/>
    </row>
    <row r="791" spans="4:5" ht="15.75" customHeight="1">
      <c r="D791" s="1"/>
      <c r="E791" s="2"/>
    </row>
    <row r="792" spans="4:5" ht="15.75" customHeight="1">
      <c r="D792" s="1"/>
      <c r="E792" s="2"/>
    </row>
    <row r="793" spans="4:5" ht="15.75" customHeight="1">
      <c r="D793" s="1"/>
      <c r="E793" s="2"/>
    </row>
    <row r="794" spans="4:5" ht="15.75" customHeight="1">
      <c r="D794" s="1"/>
      <c r="E794" s="2"/>
    </row>
    <row r="795" spans="4:5" ht="15.75" customHeight="1">
      <c r="D795" s="1"/>
      <c r="E795" s="2"/>
    </row>
    <row r="796" spans="4:5" ht="15.75" customHeight="1">
      <c r="D796" s="1"/>
      <c r="E796" s="2"/>
    </row>
    <row r="797" spans="4:5" ht="15.75" customHeight="1">
      <c r="D797" s="1"/>
      <c r="E797" s="2"/>
    </row>
    <row r="798" spans="4:5" ht="15.75" customHeight="1">
      <c r="D798" s="1"/>
      <c r="E798" s="2"/>
    </row>
    <row r="799" spans="4:5" ht="15.75" customHeight="1">
      <c r="D799" s="1"/>
      <c r="E799" s="2"/>
    </row>
    <row r="800" spans="4:5" ht="15.75" customHeight="1">
      <c r="D800" s="1"/>
      <c r="E800" s="2"/>
    </row>
    <row r="801" spans="4:5" ht="15.75" customHeight="1">
      <c r="D801" s="1"/>
      <c r="E801" s="2"/>
    </row>
    <row r="802" spans="4:5" ht="15.75" customHeight="1">
      <c r="D802" s="1"/>
      <c r="E802" s="2"/>
    </row>
    <row r="803" spans="4:5" ht="15.75" customHeight="1">
      <c r="D803" s="1"/>
      <c r="E803" s="2"/>
    </row>
    <row r="804" spans="4:5" ht="15.75" customHeight="1">
      <c r="D804" s="1"/>
      <c r="E804" s="2"/>
    </row>
    <row r="805" spans="4:5" ht="15.75" customHeight="1">
      <c r="D805" s="1"/>
      <c r="E805" s="2"/>
    </row>
    <row r="806" spans="4:5" ht="15.75" customHeight="1">
      <c r="D806" s="1"/>
      <c r="E806" s="2"/>
    </row>
    <row r="807" spans="4:5" ht="15.75" customHeight="1">
      <c r="D807" s="1"/>
      <c r="E807" s="2"/>
    </row>
    <row r="808" spans="4:5" ht="15.75" customHeight="1">
      <c r="D808" s="1"/>
      <c r="E808" s="2"/>
    </row>
    <row r="809" spans="4:5" ht="15.75" customHeight="1">
      <c r="D809" s="1"/>
      <c r="E809" s="2"/>
    </row>
    <row r="810" spans="4:5" ht="15.75" customHeight="1">
      <c r="D810" s="1"/>
      <c r="E810" s="2"/>
    </row>
    <row r="811" spans="4:5" ht="15.75" customHeight="1">
      <c r="D811" s="1"/>
      <c r="E811" s="2"/>
    </row>
    <row r="812" spans="4:5" ht="15.75" customHeight="1">
      <c r="D812" s="1"/>
      <c r="E812" s="2"/>
    </row>
    <row r="813" spans="4:5" ht="15.75" customHeight="1">
      <c r="D813" s="1"/>
      <c r="E813" s="2"/>
    </row>
    <row r="814" spans="4:5" ht="15.75" customHeight="1">
      <c r="D814" s="1"/>
      <c r="E814" s="2"/>
    </row>
    <row r="815" spans="4:5" ht="15.75" customHeight="1">
      <c r="D815" s="1"/>
      <c r="E815" s="2"/>
    </row>
    <row r="816" spans="4:5" ht="15.75" customHeight="1">
      <c r="D816" s="1"/>
      <c r="E816" s="2"/>
    </row>
    <row r="817" spans="4:5" ht="15.75" customHeight="1">
      <c r="D817" s="1"/>
      <c r="E817" s="2"/>
    </row>
    <row r="818" spans="4:5" ht="15.75" customHeight="1">
      <c r="D818" s="1"/>
      <c r="E818" s="2"/>
    </row>
    <row r="819" spans="4:5" ht="15.75" customHeight="1">
      <c r="D819" s="1"/>
      <c r="E819" s="2"/>
    </row>
    <row r="820" spans="4:5" ht="15.75" customHeight="1">
      <c r="D820" s="1"/>
      <c r="E820" s="2"/>
    </row>
    <row r="821" spans="4:5" ht="15.75" customHeight="1">
      <c r="D821" s="1"/>
      <c r="E821" s="2"/>
    </row>
    <row r="822" spans="4:5" ht="15.75" customHeight="1">
      <c r="D822" s="1"/>
      <c r="E822" s="2"/>
    </row>
    <row r="823" spans="4:5" ht="15.75" customHeight="1">
      <c r="D823" s="1"/>
      <c r="E823" s="2"/>
    </row>
    <row r="824" spans="4:5" ht="15.75" customHeight="1">
      <c r="D824" s="1"/>
      <c r="E824" s="2"/>
    </row>
    <row r="825" spans="4:5" ht="15.75" customHeight="1">
      <c r="D825" s="1"/>
      <c r="E825" s="2"/>
    </row>
    <row r="826" spans="4:5" ht="15.75" customHeight="1">
      <c r="D826" s="1"/>
      <c r="E826" s="2"/>
    </row>
    <row r="827" spans="4:5" ht="15.75" customHeight="1">
      <c r="D827" s="1"/>
      <c r="E827" s="2"/>
    </row>
    <row r="828" spans="4:5" ht="15.75" customHeight="1">
      <c r="D828" s="1"/>
      <c r="E828" s="2"/>
    </row>
    <row r="829" spans="4:5" ht="15.75" customHeight="1">
      <c r="D829" s="1"/>
      <c r="E829" s="2"/>
    </row>
    <row r="830" spans="4:5" ht="15.75" customHeight="1">
      <c r="D830" s="1"/>
      <c r="E830" s="2"/>
    </row>
    <row r="831" spans="4:5" ht="15.75" customHeight="1">
      <c r="D831" s="1"/>
      <c r="E831" s="2"/>
    </row>
    <row r="832" spans="4:5" ht="15.75" customHeight="1">
      <c r="D832" s="1"/>
      <c r="E832" s="2"/>
    </row>
    <row r="833" spans="4:5" ht="15.75" customHeight="1">
      <c r="D833" s="1"/>
      <c r="E833" s="2"/>
    </row>
    <row r="834" spans="4:5" ht="15.75" customHeight="1">
      <c r="D834" s="1"/>
      <c r="E834" s="2"/>
    </row>
    <row r="835" spans="4:5" ht="15.75" customHeight="1">
      <c r="D835" s="1"/>
      <c r="E835" s="2"/>
    </row>
    <row r="836" spans="4:5" ht="15.75" customHeight="1">
      <c r="D836" s="1"/>
      <c r="E836" s="2"/>
    </row>
    <row r="837" spans="4:5" ht="15.75" customHeight="1">
      <c r="D837" s="1"/>
      <c r="E837" s="2"/>
    </row>
    <row r="838" spans="4:5" ht="15.75" customHeight="1">
      <c r="D838" s="1"/>
      <c r="E838" s="2"/>
    </row>
    <row r="839" spans="4:5" ht="15.75" customHeight="1">
      <c r="D839" s="1"/>
      <c r="E839" s="2"/>
    </row>
    <row r="840" spans="4:5" ht="15.75" customHeight="1">
      <c r="D840" s="1"/>
      <c r="E840" s="2"/>
    </row>
    <row r="841" spans="4:5" ht="15.75" customHeight="1">
      <c r="D841" s="1"/>
      <c r="E841" s="2"/>
    </row>
    <row r="842" spans="4:5" ht="15.75" customHeight="1">
      <c r="D842" s="1"/>
      <c r="E842" s="2"/>
    </row>
    <row r="843" spans="4:5" ht="15.75" customHeight="1">
      <c r="D843" s="1"/>
      <c r="E843" s="2"/>
    </row>
    <row r="844" spans="4:5" ht="15.75" customHeight="1">
      <c r="D844" s="1"/>
      <c r="E844" s="2"/>
    </row>
    <row r="845" spans="4:5" ht="15.75" customHeight="1">
      <c r="D845" s="1"/>
      <c r="E845" s="2"/>
    </row>
    <row r="846" spans="4:5" ht="15.75" customHeight="1">
      <c r="D846" s="1"/>
      <c r="E846" s="2"/>
    </row>
    <row r="847" spans="4:5" ht="15.75" customHeight="1">
      <c r="D847" s="1"/>
      <c r="E847" s="2"/>
    </row>
    <row r="848" spans="4:5" ht="15.75" customHeight="1">
      <c r="D848" s="1"/>
      <c r="E848" s="2"/>
    </row>
    <row r="849" spans="4:5" ht="15.75" customHeight="1">
      <c r="D849" s="1"/>
      <c r="E849" s="2"/>
    </row>
    <row r="850" spans="4:5" ht="15.75" customHeight="1">
      <c r="D850" s="1"/>
      <c r="E850" s="2"/>
    </row>
    <row r="851" spans="4:5" ht="15.75" customHeight="1">
      <c r="D851" s="1"/>
      <c r="E851" s="2"/>
    </row>
    <row r="852" spans="4:5" ht="15.75" customHeight="1">
      <c r="D852" s="1"/>
      <c r="E852" s="2"/>
    </row>
    <row r="853" spans="4:5" ht="15.75" customHeight="1">
      <c r="D853" s="1"/>
      <c r="E853" s="2"/>
    </row>
    <row r="854" spans="4:5" ht="15.75" customHeight="1">
      <c r="D854" s="1"/>
      <c r="E854" s="2"/>
    </row>
    <row r="855" spans="4:5" ht="15.75" customHeight="1">
      <c r="D855" s="1"/>
      <c r="E855" s="2"/>
    </row>
    <row r="856" spans="4:5" ht="15.75" customHeight="1">
      <c r="D856" s="1"/>
      <c r="E856" s="2"/>
    </row>
    <row r="857" spans="4:5" ht="15.75" customHeight="1">
      <c r="D857" s="1"/>
      <c r="E857" s="2"/>
    </row>
    <row r="858" spans="4:5" ht="15.75" customHeight="1">
      <c r="D858" s="1"/>
      <c r="E858" s="2"/>
    </row>
    <row r="859" spans="4:5" ht="15.75" customHeight="1">
      <c r="D859" s="1"/>
      <c r="E859" s="2"/>
    </row>
    <row r="860" spans="4:5" ht="15.75" customHeight="1">
      <c r="D860" s="1"/>
      <c r="E860" s="2"/>
    </row>
    <row r="861" spans="4:5" ht="15.75" customHeight="1">
      <c r="D861" s="1"/>
      <c r="E861" s="2"/>
    </row>
    <row r="862" spans="4:5" ht="15.75" customHeight="1">
      <c r="D862" s="1"/>
      <c r="E862" s="2"/>
    </row>
    <row r="863" spans="4:5" ht="15.75" customHeight="1">
      <c r="D863" s="1"/>
      <c r="E863" s="2"/>
    </row>
    <row r="864" spans="4:5" ht="15.75" customHeight="1">
      <c r="D864" s="1"/>
      <c r="E864" s="2"/>
    </row>
    <row r="865" spans="4:5" ht="15.75" customHeight="1">
      <c r="D865" s="1"/>
      <c r="E865" s="2"/>
    </row>
    <row r="866" spans="4:5" ht="15.75" customHeight="1">
      <c r="D866" s="1"/>
      <c r="E866" s="2"/>
    </row>
    <row r="867" spans="4:5" ht="15.75" customHeight="1">
      <c r="D867" s="1"/>
      <c r="E867" s="2"/>
    </row>
    <row r="868" spans="4:5" ht="15.75" customHeight="1">
      <c r="D868" s="1"/>
      <c r="E868" s="2"/>
    </row>
    <row r="869" spans="4:5" ht="15.75" customHeight="1">
      <c r="D869" s="1"/>
      <c r="E869" s="2"/>
    </row>
    <row r="870" spans="4:5" ht="15.75" customHeight="1">
      <c r="D870" s="1"/>
      <c r="E870" s="2"/>
    </row>
    <row r="871" spans="4:5" ht="15.75" customHeight="1">
      <c r="D871" s="1"/>
      <c r="E871" s="2"/>
    </row>
    <row r="872" spans="4:5" ht="15.75" customHeight="1">
      <c r="D872" s="1"/>
      <c r="E872" s="2"/>
    </row>
    <row r="873" spans="4:5" ht="15.75" customHeight="1">
      <c r="D873" s="1"/>
      <c r="E873" s="2"/>
    </row>
    <row r="874" spans="4:5" ht="15.75" customHeight="1">
      <c r="D874" s="1"/>
      <c r="E874" s="2"/>
    </row>
    <row r="875" spans="4:5" ht="15.75" customHeight="1">
      <c r="D875" s="1"/>
      <c r="E875" s="2"/>
    </row>
    <row r="876" spans="4:5" ht="15.75" customHeight="1">
      <c r="D876" s="1"/>
      <c r="E876" s="2"/>
    </row>
    <row r="877" spans="4:5" ht="15.75" customHeight="1">
      <c r="D877" s="1"/>
      <c r="E877" s="2"/>
    </row>
    <row r="878" spans="4:5" ht="15.75" customHeight="1">
      <c r="D878" s="1"/>
      <c r="E878" s="2"/>
    </row>
    <row r="879" spans="4:5" ht="15.75" customHeight="1">
      <c r="D879" s="1"/>
      <c r="E879" s="2"/>
    </row>
    <row r="880" spans="4:5" ht="15.75" customHeight="1">
      <c r="D880" s="1"/>
      <c r="E880" s="2"/>
    </row>
    <row r="881" spans="4:5" ht="15.75" customHeight="1">
      <c r="D881" s="1"/>
      <c r="E881" s="2"/>
    </row>
    <row r="882" spans="4:5" ht="15.75" customHeight="1">
      <c r="D882" s="1"/>
      <c r="E882" s="2"/>
    </row>
    <row r="883" spans="4:5" ht="15.75" customHeight="1">
      <c r="D883" s="1"/>
      <c r="E883" s="2"/>
    </row>
    <row r="884" spans="4:5" ht="15.75" customHeight="1">
      <c r="D884" s="1"/>
      <c r="E884" s="2"/>
    </row>
    <row r="885" spans="4:5" ht="15.75" customHeight="1">
      <c r="D885" s="1"/>
      <c r="E885" s="2"/>
    </row>
    <row r="886" spans="4:5" ht="15.75" customHeight="1">
      <c r="D886" s="1"/>
      <c r="E886" s="2"/>
    </row>
    <row r="887" spans="4:5" ht="15.75" customHeight="1">
      <c r="D887" s="1"/>
      <c r="E887" s="2"/>
    </row>
    <row r="888" spans="4:5" ht="15.75" customHeight="1">
      <c r="D888" s="1"/>
      <c r="E888" s="2"/>
    </row>
    <row r="889" spans="4:5" ht="15.75" customHeight="1">
      <c r="D889" s="1"/>
      <c r="E889" s="2"/>
    </row>
    <row r="890" spans="4:5" ht="15.75" customHeight="1">
      <c r="D890" s="1"/>
      <c r="E890" s="2"/>
    </row>
    <row r="891" spans="4:5" ht="15.75" customHeight="1">
      <c r="D891" s="1"/>
      <c r="E891" s="2"/>
    </row>
    <row r="892" spans="4:5" ht="15.75" customHeight="1">
      <c r="D892" s="1"/>
      <c r="E892" s="2"/>
    </row>
    <row r="893" spans="4:5" ht="15.75" customHeight="1">
      <c r="D893" s="1"/>
      <c r="E893" s="2"/>
    </row>
    <row r="894" spans="4:5" ht="15.75" customHeight="1">
      <c r="D894" s="1"/>
      <c r="E894" s="2"/>
    </row>
    <row r="895" spans="4:5" ht="15.75" customHeight="1">
      <c r="D895" s="1"/>
      <c r="E895" s="2"/>
    </row>
    <row r="896" spans="4:5" ht="15.75" customHeight="1">
      <c r="D896" s="1"/>
      <c r="E896" s="2"/>
    </row>
    <row r="897" spans="4:5" ht="15.75" customHeight="1">
      <c r="D897" s="1"/>
      <c r="E897" s="2"/>
    </row>
    <row r="898" spans="4:5" ht="15.75" customHeight="1">
      <c r="D898" s="1"/>
      <c r="E898" s="2"/>
    </row>
    <row r="899" spans="4:5" ht="15.75" customHeight="1">
      <c r="D899" s="1"/>
      <c r="E899" s="2"/>
    </row>
    <row r="900" spans="4:5" ht="15.75" customHeight="1">
      <c r="D900" s="1"/>
      <c r="E900" s="2"/>
    </row>
    <row r="901" spans="4:5" ht="15.75" customHeight="1">
      <c r="D901" s="1"/>
      <c r="E901" s="2"/>
    </row>
    <row r="902" spans="4:5" ht="15.75" customHeight="1">
      <c r="D902" s="1"/>
      <c r="E902" s="2"/>
    </row>
    <row r="903" spans="4:5" ht="15.75" customHeight="1">
      <c r="D903" s="1"/>
      <c r="E903" s="2"/>
    </row>
    <row r="904" spans="4:5" ht="15.75" customHeight="1">
      <c r="D904" s="1"/>
      <c r="E904" s="2"/>
    </row>
    <row r="905" spans="4:5" ht="15.75" customHeight="1">
      <c r="D905" s="1"/>
      <c r="E905" s="2"/>
    </row>
    <row r="906" spans="4:5" ht="15.75" customHeight="1">
      <c r="D906" s="1"/>
      <c r="E906" s="2"/>
    </row>
    <row r="907" spans="4:5" ht="15.75" customHeight="1">
      <c r="D907" s="1"/>
      <c r="E907" s="2"/>
    </row>
    <row r="908" spans="4:5" ht="15.75" customHeight="1">
      <c r="D908" s="1"/>
      <c r="E908" s="2"/>
    </row>
    <row r="909" spans="4:5" ht="15.75" customHeight="1">
      <c r="D909" s="1"/>
      <c r="E909" s="2"/>
    </row>
    <row r="910" spans="4:5" ht="15.75" customHeight="1">
      <c r="D910" s="1"/>
      <c r="E910" s="2"/>
    </row>
    <row r="911" spans="4:5" ht="15.75" customHeight="1">
      <c r="D911" s="1"/>
      <c r="E911" s="2"/>
    </row>
    <row r="912" spans="4:5" ht="15.75" customHeight="1">
      <c r="D912" s="1"/>
      <c r="E912" s="2"/>
    </row>
    <row r="913" spans="4:5" ht="15.75" customHeight="1">
      <c r="D913" s="1"/>
      <c r="E913" s="2"/>
    </row>
    <row r="914" spans="4:5" ht="15.75" customHeight="1">
      <c r="D914" s="1"/>
      <c r="E914" s="2"/>
    </row>
    <row r="915" spans="4:5" ht="15.75" customHeight="1">
      <c r="D915" s="1"/>
      <c r="E915" s="2"/>
    </row>
    <row r="916" spans="4:5" ht="15.75" customHeight="1">
      <c r="D916" s="1"/>
      <c r="E916" s="2"/>
    </row>
    <row r="917" spans="4:5" ht="15.75" customHeight="1">
      <c r="D917" s="1"/>
      <c r="E917" s="2"/>
    </row>
    <row r="918" spans="4:5" ht="15.75" customHeight="1">
      <c r="D918" s="1"/>
      <c r="E918" s="2"/>
    </row>
    <row r="919" spans="4:5" ht="15.75" customHeight="1">
      <c r="D919" s="1"/>
      <c r="E919" s="2"/>
    </row>
    <row r="920" spans="4:5" ht="15.75" customHeight="1">
      <c r="D920" s="1"/>
      <c r="E920" s="2"/>
    </row>
    <row r="921" spans="4:5" ht="15.75" customHeight="1">
      <c r="D921" s="1"/>
      <c r="E921" s="2"/>
    </row>
    <row r="922" spans="4:5" ht="15.75" customHeight="1">
      <c r="D922" s="1"/>
      <c r="E922" s="2"/>
    </row>
    <row r="923" spans="4:5" ht="15.75" customHeight="1">
      <c r="D923" s="1"/>
      <c r="E923" s="2"/>
    </row>
    <row r="924" spans="4:5" ht="15.75" customHeight="1">
      <c r="D924" s="1"/>
      <c r="E924" s="2"/>
    </row>
    <row r="925" spans="4:5" ht="15.75" customHeight="1">
      <c r="D925" s="1"/>
      <c r="E925" s="2"/>
    </row>
    <row r="926" spans="4:5" ht="15.75" customHeight="1">
      <c r="D926" s="1"/>
      <c r="E926" s="2"/>
    </row>
    <row r="927" spans="4:5" ht="15.75" customHeight="1">
      <c r="D927" s="1"/>
      <c r="E927" s="2"/>
    </row>
    <row r="928" spans="4:5" ht="15.75" customHeight="1">
      <c r="D928" s="1"/>
      <c r="E928" s="2"/>
    </row>
    <row r="929" spans="4:5" ht="15.75" customHeight="1">
      <c r="D929" s="1"/>
      <c r="E929" s="2"/>
    </row>
    <row r="930" spans="4:5" ht="15.75" customHeight="1">
      <c r="D930" s="1"/>
      <c r="E930" s="2"/>
    </row>
    <row r="931" spans="4:5" ht="15.75" customHeight="1">
      <c r="D931" s="1"/>
      <c r="E931" s="2"/>
    </row>
    <row r="932" spans="4:5" ht="15.75" customHeight="1">
      <c r="D932" s="1"/>
      <c r="E932" s="2"/>
    </row>
    <row r="933" spans="4:5" ht="15.75" customHeight="1">
      <c r="D933" s="1"/>
      <c r="E933" s="2"/>
    </row>
    <row r="934" spans="4:5" ht="15.75" customHeight="1">
      <c r="D934" s="1"/>
      <c r="E934" s="2"/>
    </row>
    <row r="935" spans="4:5" ht="15.75" customHeight="1">
      <c r="D935" s="1"/>
      <c r="E935" s="2"/>
    </row>
    <row r="936" spans="4:5" ht="15.75" customHeight="1">
      <c r="D936" s="1"/>
      <c r="E936" s="2"/>
    </row>
    <row r="937" spans="4:5" ht="15.75" customHeight="1">
      <c r="D937" s="1"/>
      <c r="E937" s="2"/>
    </row>
    <row r="938" spans="4:5" ht="15.75" customHeight="1">
      <c r="D938" s="1"/>
      <c r="E938" s="2"/>
    </row>
    <row r="939" spans="4:5" ht="15.75" customHeight="1">
      <c r="D939" s="1"/>
      <c r="E939" s="2"/>
    </row>
    <row r="940" spans="4:5" ht="15.75" customHeight="1">
      <c r="D940" s="1"/>
      <c r="E940" s="2"/>
    </row>
    <row r="941" spans="4:5" ht="15.75" customHeight="1">
      <c r="D941" s="1"/>
      <c r="E941" s="2"/>
    </row>
    <row r="942" spans="4:5" ht="15.75" customHeight="1">
      <c r="D942" s="1"/>
      <c r="E942" s="2"/>
    </row>
    <row r="943" spans="4:5" ht="15.75" customHeight="1">
      <c r="D943" s="1"/>
      <c r="E943" s="2"/>
    </row>
    <row r="944" spans="4:5" ht="15.75" customHeight="1">
      <c r="D944" s="1"/>
      <c r="E944" s="2"/>
    </row>
    <row r="945" spans="4:5" ht="15.75" customHeight="1">
      <c r="D945" s="1"/>
      <c r="E945" s="2"/>
    </row>
    <row r="946" spans="4:5" ht="15.75" customHeight="1">
      <c r="D946" s="1"/>
      <c r="E946" s="2"/>
    </row>
    <row r="947" spans="4:5" ht="15.75" customHeight="1">
      <c r="D947" s="1"/>
      <c r="E947" s="2"/>
    </row>
    <row r="948" spans="4:5" ht="15.75" customHeight="1">
      <c r="D948" s="1"/>
      <c r="E948" s="2"/>
    </row>
    <row r="949" spans="4:5" ht="15.75" customHeight="1">
      <c r="D949" s="1"/>
      <c r="E949" s="2"/>
    </row>
    <row r="950" spans="4:5" ht="15.75" customHeight="1">
      <c r="D950" s="1"/>
      <c r="E950" s="2"/>
    </row>
    <row r="951" spans="4:5" ht="15.75" customHeight="1">
      <c r="D951" s="1"/>
      <c r="E951" s="2"/>
    </row>
    <row r="952" spans="4:5" ht="15.75" customHeight="1">
      <c r="D952" s="1"/>
      <c r="E952" s="2"/>
    </row>
    <row r="953" spans="4:5" ht="15.75" customHeight="1">
      <c r="D953" s="1"/>
      <c r="E953" s="2"/>
    </row>
    <row r="954" spans="4:5" ht="15.75" customHeight="1">
      <c r="D954" s="1"/>
      <c r="E954" s="2"/>
    </row>
    <row r="955" spans="4:5" ht="15.75" customHeight="1">
      <c r="D955" s="1"/>
      <c r="E955" s="2"/>
    </row>
    <row r="956" spans="4:5" ht="15.75" customHeight="1">
      <c r="D956" s="1"/>
      <c r="E956" s="2"/>
    </row>
    <row r="957" spans="4:5" ht="15.75" customHeight="1">
      <c r="D957" s="1"/>
      <c r="E957" s="2"/>
    </row>
    <row r="958" spans="4:5" ht="15.75" customHeight="1">
      <c r="D958" s="1"/>
      <c r="E958" s="2"/>
    </row>
    <row r="959" spans="4:5" ht="15.75" customHeight="1">
      <c r="D959" s="1"/>
      <c r="E959" s="2"/>
    </row>
    <row r="960" spans="4:5" ht="15.75" customHeight="1">
      <c r="D960" s="1"/>
      <c r="E960" s="2"/>
    </row>
    <row r="961" spans="4:5" ht="15.75" customHeight="1">
      <c r="D961" s="1"/>
      <c r="E961" s="2"/>
    </row>
    <row r="962" spans="4:5" ht="15.75" customHeight="1">
      <c r="D962" s="1"/>
      <c r="E962" s="2"/>
    </row>
    <row r="963" spans="4:5" ht="15.75" customHeight="1">
      <c r="D963" s="1"/>
      <c r="E963" s="2"/>
    </row>
    <row r="964" spans="4:5" ht="15.75" customHeight="1">
      <c r="D964" s="1"/>
      <c r="E964" s="2"/>
    </row>
    <row r="965" spans="4:5" ht="15.75" customHeight="1">
      <c r="D965" s="1"/>
      <c r="E965" s="2"/>
    </row>
    <row r="966" spans="4:5" ht="15.75" customHeight="1">
      <c r="D966" s="1"/>
      <c r="E966" s="2"/>
    </row>
    <row r="967" spans="4:5" ht="15.75" customHeight="1">
      <c r="D967" s="1"/>
      <c r="E967" s="2"/>
    </row>
    <row r="968" spans="4:5" ht="15.75" customHeight="1">
      <c r="D968" s="1"/>
      <c r="E968" s="2"/>
    </row>
    <row r="969" spans="4:5" ht="15.75" customHeight="1">
      <c r="D969" s="1"/>
      <c r="E969" s="2"/>
    </row>
    <row r="970" spans="4:5" ht="15.75" customHeight="1">
      <c r="D970" s="1"/>
      <c r="E970" s="2"/>
    </row>
    <row r="971" spans="4:5" ht="15.75" customHeight="1">
      <c r="D971" s="1"/>
      <c r="E971" s="2"/>
    </row>
    <row r="972" spans="4:5" ht="15.75" customHeight="1">
      <c r="D972" s="1"/>
      <c r="E972" s="2"/>
    </row>
    <row r="973" spans="4:5" ht="15.75" customHeight="1">
      <c r="D973" s="1"/>
      <c r="E973" s="2"/>
    </row>
    <row r="974" spans="4:5" ht="15.75" customHeight="1">
      <c r="D974" s="1"/>
      <c r="E974" s="2"/>
    </row>
    <row r="975" spans="4:5" ht="15.75" customHeight="1">
      <c r="D975" s="1"/>
      <c r="E975" s="2"/>
    </row>
    <row r="976" spans="4:5" ht="15.75" customHeight="1">
      <c r="D976" s="1"/>
      <c r="E976" s="2"/>
    </row>
    <row r="977" spans="4:5" ht="15.75" customHeight="1">
      <c r="D977" s="1"/>
      <c r="E977" s="2"/>
    </row>
    <row r="978" spans="4:5" ht="15.75" customHeight="1">
      <c r="D978" s="1"/>
      <c r="E978" s="2"/>
    </row>
    <row r="979" spans="4:5" ht="15.75" customHeight="1">
      <c r="D979" s="1"/>
      <c r="E979" s="2"/>
    </row>
    <row r="980" spans="4:5" ht="15.75" customHeight="1">
      <c r="D980" s="1"/>
      <c r="E980" s="2"/>
    </row>
    <row r="981" spans="4:5" ht="15.75" customHeight="1">
      <c r="D981" s="1"/>
      <c r="E981" s="2"/>
    </row>
    <row r="982" spans="4:5" ht="15.75" customHeight="1">
      <c r="D982" s="1"/>
      <c r="E982" s="2"/>
    </row>
    <row r="983" spans="4:5" ht="15.75" customHeight="1">
      <c r="D983" s="1"/>
      <c r="E983" s="2"/>
    </row>
    <row r="984" spans="4:5" ht="15.75" customHeight="1">
      <c r="D984" s="1"/>
      <c r="E984" s="2"/>
    </row>
    <row r="985" spans="4:5" ht="15.75" customHeight="1">
      <c r="D985" s="1"/>
      <c r="E985" s="2"/>
    </row>
    <row r="986" spans="4:5" ht="15.75" customHeight="1">
      <c r="D986" s="1"/>
      <c r="E986" s="2"/>
    </row>
    <row r="987" spans="4:5" ht="15.75" customHeight="1">
      <c r="D987" s="1"/>
      <c r="E987" s="2"/>
    </row>
    <row r="988" spans="4:5" ht="15.75" customHeight="1">
      <c r="D988" s="1"/>
      <c r="E988" s="2"/>
    </row>
    <row r="989" spans="4:5" ht="15.75" customHeight="1">
      <c r="D989" s="1"/>
      <c r="E989" s="2"/>
    </row>
    <row r="990" spans="4:5" ht="15.75" customHeight="1">
      <c r="D990" s="1"/>
      <c r="E990" s="2"/>
    </row>
    <row r="991" spans="4:5" ht="15.75" customHeight="1">
      <c r="D991" s="1"/>
      <c r="E991" s="2"/>
    </row>
    <row r="992" spans="4:5" ht="15.75" customHeight="1">
      <c r="D992" s="1"/>
      <c r="E992" s="2"/>
    </row>
    <row r="993" spans="4:5" ht="15.75" customHeight="1">
      <c r="D993" s="1"/>
      <c r="E993" s="2"/>
    </row>
    <row r="994" spans="4:5" ht="15.75" customHeight="1">
      <c r="D994" s="1"/>
      <c r="E994" s="2"/>
    </row>
    <row r="995" spans="4:5" ht="15.75" customHeight="1">
      <c r="D995" s="1"/>
      <c r="E995" s="2"/>
    </row>
  </sheetData>
  <mergeCells count="8">
    <mergeCell ref="C69:E69"/>
    <mergeCell ref="C78:E78"/>
    <mergeCell ref="C16:E16"/>
    <mergeCell ref="C23:E23"/>
    <mergeCell ref="C30:E30"/>
    <mergeCell ref="C40:E40"/>
    <mergeCell ref="C48:E48"/>
    <mergeCell ref="C56:E56"/>
  </mergeCells>
  <conditionalFormatting sqref="C17:E995">
    <cfRule type="expression" dxfId="21" priority="1">
      <formula>$B17=TRUE</formula>
    </cfRule>
  </conditionalFormatting>
  <dataValidations count="1">
    <dataValidation type="list" allowBlank="1" showErrorMessage="1" sqref="D2" xr:uid="{4D35CED2-6069-4A0C-B67B-366EBC170BD3}">
      <formula1>"Summer,Winter"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841A6-9892-4F13-ABE9-4AEAF56C5C2E}">
  <dimension ref="A1:I15"/>
  <sheetViews>
    <sheetView tabSelected="1" zoomScale="85" zoomScaleNormal="85" workbookViewId="0">
      <selection activeCell="C14" sqref="C14"/>
    </sheetView>
  </sheetViews>
  <sheetFormatPr defaultRowHeight="14.5"/>
  <cols>
    <col min="1" max="1" width="20.08984375" customWidth="1"/>
    <col min="2" max="2" width="10.54296875" bestFit="1" customWidth="1"/>
    <col min="3" max="3" width="26.81640625" bestFit="1" customWidth="1"/>
    <col min="4" max="4" width="23" bestFit="1" customWidth="1"/>
    <col min="5" max="5" width="18.54296875" bestFit="1" customWidth="1"/>
    <col min="6" max="6" width="31.26953125" bestFit="1" customWidth="1"/>
    <col min="7" max="7" width="21.90625" bestFit="1" customWidth="1"/>
    <col min="8" max="8" width="6.90625" bestFit="1" customWidth="1"/>
    <col min="9" max="9" width="10.7265625" bestFit="1" customWidth="1"/>
  </cols>
  <sheetData>
    <row r="1" spans="1:9" ht="16">
      <c r="A1" s="215" t="s">
        <v>155</v>
      </c>
    </row>
    <row r="2" spans="1:9">
      <c r="A2" t="s">
        <v>144</v>
      </c>
      <c r="B2" t="str" cm="1">
        <f t="array" ref="B2:I2">TRANSPOSE(_xlfn.UNIQUE(_xlfn._xlws.FILTER(SETUP!$C$6:$C$100, NOT(ISBLANK(SETUP!$C$6:$C$100))),FALSE,FALSE))</f>
        <v>Income</v>
      </c>
      <c r="C2" t="str">
        <v>Property Expenses</v>
      </c>
      <c r="D2" t="str">
        <v>Fixed Expenses</v>
      </c>
      <c r="E2" t="str">
        <v>Variable Expenses</v>
      </c>
      <c r="F2" t="str">
        <v>Loan Payments</v>
      </c>
      <c r="G2" t="str">
        <v>Credit Card Payments</v>
      </c>
      <c r="H2" t="str">
        <v>Savings</v>
      </c>
      <c r="I2" t="str">
        <v>Investments</v>
      </c>
    </row>
    <row r="3" spans="1:9">
      <c r="A3" t="str" cm="1">
        <f t="array" ref="A3:A10">_xlfn.UNIQUE(_xlfn._xlws.FILTER(SETUP!$C$6:$C$100, NOT(ISBLANK(SETUP!$C$6:$C$100))),FALSE,FALSE)</f>
        <v>Income</v>
      </c>
      <c r="B3" t="str" cm="1">
        <f t="array" ref="B3:B6">_xlfn._xlws.FILTER(SETUP!$D$6:$D$100, --(SETUP!$C$6:$C$100=B$2))</f>
        <v>CVS Income</v>
      </c>
      <c r="C3" t="str" cm="1">
        <f t="array" ref="C3:C11">_xlfn._xlws.FILTER(SETUP!$D$6:$D$100, --(SETUP!$C$6:$C$100=C$2))</f>
        <v>Mortgage</v>
      </c>
      <c r="D3" t="str" cm="1">
        <f t="array" ref="D3:D15">_xlfn._xlws.FILTER(SETUP!$D$6:$D$100, --(SETUP!$C$6:$C$100=D$2))</f>
        <v>Auto Insurance</v>
      </c>
      <c r="E3" t="str" cm="1">
        <f t="array" ref="E3:E6">_xlfn._xlws.FILTER(SETUP!$D$6:$D$100, --(SETUP!$C$6:$C$100=E$2))</f>
        <v>Heating/Natural Gas</v>
      </c>
      <c r="F3" t="str" cm="1">
        <f t="array" ref="F3:F8">_xlfn._xlws.FILTER(SETUP!$D$6:$D$100, --(SETUP!$C$6:$C$100=F$2))</f>
        <v>CITIZENS HELOC</v>
      </c>
      <c r="G3" t="str" cm="1">
        <f t="array" ref="G3:G7">_xlfn._xlws.FILTER(SETUP!$D$6:$D$100, --(SETUP!$C$6:$C$100=G$2))</f>
        <v>BOA Customized Rewards</v>
      </c>
      <c r="H3" cm="1">
        <f t="array" ref="H3">_xlfn._xlws.FILTER(SETUP!$D$6:$D$100, --(SETUP!$C$6:$C$100=H$2))</f>
        <v>0</v>
      </c>
      <c r="I3" cm="1">
        <f t="array" ref="I3">_xlfn._xlws.FILTER(SETUP!$D$6:$D$100, --(SETUP!$C$6:$C$100=I$2))</f>
        <v>0</v>
      </c>
    </row>
    <row r="4" spans="1:9">
      <c r="A4" t="str">
        <v>Property Expenses</v>
      </c>
      <c r="B4" t="str">
        <v>Apt 2 Rent</v>
      </c>
      <c r="C4" t="str">
        <v>Owner Contribution to Mortgage</v>
      </c>
      <c r="D4" t="str">
        <v>Auto Taxes (Monthly)</v>
      </c>
      <c r="E4" t="str">
        <v>Electricity</v>
      </c>
      <c r="F4" t="str">
        <v>UPSTART Debt Consolidation</v>
      </c>
      <c r="G4" t="str">
        <v>BOA Unlimited Rewards</v>
      </c>
    </row>
    <row r="5" spans="1:9">
      <c r="A5" t="str">
        <v>Fixed Expenses</v>
      </c>
      <c r="B5" t="str">
        <v>Apt 3 Rent</v>
      </c>
      <c r="C5" t="str">
        <v>Landlord Electricity</v>
      </c>
      <c r="D5" t="str">
        <v>Internet</v>
      </c>
      <c r="E5" t="str">
        <v>Groceries + Toiletries</v>
      </c>
      <c r="F5" t="str">
        <v>AQUA FINANCE Roofing Replacement</v>
      </c>
      <c r="G5" t="str">
        <v>CHASE Freedom</v>
      </c>
    </row>
    <row r="6" spans="1:9">
      <c r="A6" t="str">
        <v>Variable Expenses</v>
      </c>
      <c r="B6" t="str">
        <v>Uber Driver</v>
      </c>
      <c r="C6" t="str">
        <v>Water/Sewer (Monthly)</v>
      </c>
      <c r="D6" t="str">
        <v>Life Insurance</v>
      </c>
      <c r="E6" t="str">
        <v>Gym Trainer (Brittany)</v>
      </c>
      <c r="F6" t="str">
        <v>TD Auto Loan</v>
      </c>
      <c r="G6" t="str">
        <v>CITI Diamond Preferred</v>
      </c>
    </row>
    <row r="7" spans="1:9">
      <c r="A7" t="str">
        <v>Loan Payments</v>
      </c>
      <c r="C7" t="str">
        <v>Maintenance (Lawn)</v>
      </c>
      <c r="D7" t="str">
        <v>Phone (Nykosi)</v>
      </c>
      <c r="F7" t="str">
        <v>NELNET Student Loans</v>
      </c>
      <c r="G7" t="str">
        <v>CITIZENS Clear Value</v>
      </c>
    </row>
    <row r="8" spans="1:9">
      <c r="A8" t="str">
        <v>Credit Card Payments</v>
      </c>
      <c r="C8" t="str">
        <v>Maintenance (Lawn)</v>
      </c>
      <c r="D8" t="str">
        <v>Phone (Brittany)</v>
      </c>
      <c r="F8" t="str">
        <v>XXX Heating Systems</v>
      </c>
    </row>
    <row r="9" spans="1:9">
      <c r="A9" t="str">
        <v>Savings</v>
      </c>
      <c r="C9" t="str">
        <v>Maintenance (Snow Removal)</v>
      </c>
      <c r="D9" t="str">
        <v>Gym Membership (Nykosi)</v>
      </c>
    </row>
    <row r="10" spans="1:9">
      <c r="A10" t="str">
        <v>Investments</v>
      </c>
      <c r="C10" t="str">
        <v>Blink Security</v>
      </c>
      <c r="D10" t="str">
        <v>Gym Membership (Brittany)</v>
      </c>
    </row>
    <row r="11" spans="1:9">
      <c r="C11" t="str">
        <v>Avail Portal</v>
      </c>
      <c r="D11" t="str">
        <v>Amazon Prime</v>
      </c>
    </row>
    <row r="12" spans="1:9">
      <c r="D12" t="str">
        <v>Microsoft 365</v>
      </c>
    </row>
    <row r="13" spans="1:9">
      <c r="D13" t="str">
        <v>Netflix</v>
      </c>
    </row>
    <row r="14" spans="1:9">
      <c r="D14" t="str">
        <v xml:space="preserve">YNAB </v>
      </c>
    </row>
    <row r="15" spans="1:9">
      <c r="D15" t="str">
        <v>OpenAI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CC08A-EAC6-433E-B06F-E6A2A8F170BE}">
  <dimension ref="B1:H12"/>
  <sheetViews>
    <sheetView zoomScale="70" zoomScaleNormal="70" workbookViewId="0">
      <selection activeCell="C10" sqref="C10"/>
    </sheetView>
  </sheetViews>
  <sheetFormatPr defaultRowHeight="14.5"/>
  <cols>
    <col min="1" max="1" width="3.90625" style="199" customWidth="1"/>
    <col min="2" max="4" width="21.36328125" customWidth="1"/>
    <col min="5" max="5" width="31.453125" customWidth="1"/>
    <col min="6" max="8" width="29.7265625" customWidth="1"/>
    <col min="9" max="16384" width="8.7265625" style="199"/>
  </cols>
  <sheetData>
    <row r="1" spans="2:8">
      <c r="B1" s="199"/>
      <c r="C1" s="199"/>
      <c r="D1" s="199"/>
      <c r="E1" s="199"/>
      <c r="F1" s="199"/>
      <c r="G1" s="199"/>
      <c r="H1" s="199"/>
    </row>
    <row r="2" spans="2:8" ht="16">
      <c r="B2" s="197" t="s">
        <v>110</v>
      </c>
      <c r="C2" s="197"/>
      <c r="D2" s="197"/>
      <c r="E2" s="197"/>
      <c r="F2" s="197"/>
      <c r="G2" s="197"/>
      <c r="H2" s="197"/>
    </row>
    <row r="3" spans="2:8">
      <c r="B3" s="198" t="s">
        <v>136</v>
      </c>
      <c r="C3" s="198" t="s">
        <v>4</v>
      </c>
      <c r="D3" s="189" t="s">
        <v>137</v>
      </c>
      <c r="E3" s="190" t="str">
        <f>"Amount "&amp;"
("&amp;'[1]Start Here'!$H$17&amp;")"</f>
        <v>Amount 
($)</v>
      </c>
      <c r="F3" s="189" t="s">
        <v>138</v>
      </c>
      <c r="G3" s="189" t="s">
        <v>139</v>
      </c>
      <c r="H3" s="190" t="str">
        <f>"Amount for Cashflow "&amp;"
("&amp;'[1]Start Here'!$H$17&amp;")"</f>
        <v>Amount for Cashflow 
($)</v>
      </c>
    </row>
    <row r="4" spans="2:8">
      <c r="B4" s="191"/>
      <c r="C4" s="191"/>
      <c r="D4" s="191"/>
      <c r="E4" s="192"/>
      <c r="F4" s="191"/>
      <c r="G4" s="191"/>
      <c r="H4" s="192"/>
    </row>
    <row r="5" spans="2:8">
      <c r="B5" s="216" t="s">
        <v>21</v>
      </c>
      <c r="C5" t="s">
        <v>75</v>
      </c>
    </row>
    <row r="6" spans="2:8">
      <c r="B6" s="216"/>
    </row>
    <row r="7" spans="2:8">
      <c r="B7" s="216"/>
    </row>
    <row r="8" spans="2:8">
      <c r="B8" s="216"/>
    </row>
    <row r="9" spans="2:8">
      <c r="B9" s="216"/>
    </row>
    <row r="10" spans="2:8">
      <c r="B10" s="216"/>
    </row>
    <row r="11" spans="2:8">
      <c r="B11" s="216"/>
    </row>
    <row r="12" spans="2:8">
      <c r="B12" s="216"/>
    </row>
  </sheetData>
  <protectedRanges>
    <protectedRange sqref="B5:E1004" name="Range4"/>
  </protectedRanges>
  <mergeCells count="8">
    <mergeCell ref="F3:F4"/>
    <mergeCell ref="G3:G4"/>
    <mergeCell ref="H3:H4"/>
    <mergeCell ref="B2:H2"/>
    <mergeCell ref="B3:B4"/>
    <mergeCell ref="C3:C4"/>
    <mergeCell ref="D3:D4"/>
    <mergeCell ref="E3:E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BEEB3C-8B2C-4B22-B23D-EE7F94A3CA8D}">
          <x14:formula1>
            <xm:f>OFFSET(DONOTUSE!$A$3:$A$17,0,MATCH(B5,DONOTUSE!$A$2:$I$2, 0)-1)</xm:f>
          </x14:formula1>
          <xm:sqref>C5:C13</xm:sqref>
        </x14:dataValidation>
        <x14:dataValidation type="list" allowBlank="1" showInputMessage="1" showErrorMessage="1" xr:uid="{B79FCA20-80E6-4FDB-ACE3-B4A75A83F3B2}">
          <x14:formula1>
            <xm:f>DONOTUSE!$A$3:$A$15</xm:f>
          </x14:formula1>
          <xm:sqref>B5:B12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FD2DD-62A7-425C-801F-3744F9E71869}">
  <dimension ref="B1:F1004"/>
  <sheetViews>
    <sheetView zoomScale="70" zoomScaleNormal="70" workbookViewId="0">
      <selection activeCell="E7" sqref="E7"/>
    </sheetView>
  </sheetViews>
  <sheetFormatPr defaultRowHeight="14.5"/>
  <cols>
    <col min="1" max="1" width="3.90625" style="199" customWidth="1"/>
    <col min="2" max="6" width="25.90625" customWidth="1"/>
    <col min="7" max="16384" width="8.7265625" style="199"/>
  </cols>
  <sheetData>
    <row r="1" spans="2:6">
      <c r="B1" s="199"/>
      <c r="C1" s="199"/>
      <c r="D1" s="199"/>
      <c r="E1" s="199"/>
      <c r="F1" s="199"/>
    </row>
    <row r="2" spans="2:6" ht="16">
      <c r="B2" s="187" t="s">
        <v>140</v>
      </c>
      <c r="C2" s="187"/>
      <c r="D2" s="187"/>
      <c r="E2" s="187"/>
      <c r="F2" s="188"/>
    </row>
    <row r="3" spans="2:6">
      <c r="B3" s="189" t="s">
        <v>135</v>
      </c>
      <c r="C3" s="189" t="s">
        <v>141</v>
      </c>
      <c r="D3" s="189" t="s">
        <v>136</v>
      </c>
      <c r="E3" s="189" t="s">
        <v>4</v>
      </c>
      <c r="F3" s="190" t="str">
        <f>"Amount "&amp;"
("&amp;'[1]Start Here'!$H$17&amp;")"</f>
        <v>Amount 
($)</v>
      </c>
    </row>
    <row r="4" spans="2:6">
      <c r="B4" s="191"/>
      <c r="C4" s="191"/>
      <c r="D4" s="191"/>
      <c r="E4" s="191"/>
      <c r="F4" s="192"/>
    </row>
    <row r="5" spans="2:6">
      <c r="B5" s="193"/>
      <c r="C5" s="193"/>
      <c r="D5" s="194"/>
      <c r="E5" s="194"/>
      <c r="F5" s="195"/>
    </row>
    <row r="6" spans="2:6">
      <c r="B6" s="193"/>
      <c r="C6" s="193"/>
      <c r="D6" s="194"/>
      <c r="E6" s="194"/>
      <c r="F6" s="196"/>
    </row>
    <row r="7" spans="2:6">
      <c r="B7" s="193"/>
      <c r="C7" s="193"/>
      <c r="D7" s="194"/>
      <c r="E7" s="194"/>
      <c r="F7" s="196"/>
    </row>
    <row r="8" spans="2:6">
      <c r="B8" s="193"/>
      <c r="C8" s="193"/>
      <c r="D8" s="194"/>
      <c r="E8" s="194"/>
      <c r="F8" s="196"/>
    </row>
    <row r="9" spans="2:6">
      <c r="B9" s="193"/>
      <c r="C9" s="193"/>
      <c r="D9" s="194"/>
      <c r="E9" s="194"/>
      <c r="F9" s="196"/>
    </row>
    <row r="10" spans="2:6">
      <c r="B10" s="193"/>
      <c r="C10" s="193"/>
      <c r="D10" s="194"/>
      <c r="E10" s="194"/>
      <c r="F10" s="196"/>
    </row>
    <row r="11" spans="2:6">
      <c r="B11" s="193"/>
      <c r="C11" s="193"/>
      <c r="D11" s="194"/>
      <c r="E11" s="194"/>
      <c r="F11" s="196"/>
    </row>
    <row r="12" spans="2:6">
      <c r="B12" s="193"/>
      <c r="C12" s="193"/>
      <c r="D12" s="194"/>
      <c r="E12" s="194"/>
      <c r="F12" s="196"/>
    </row>
    <row r="13" spans="2:6">
      <c r="B13" s="193"/>
      <c r="C13" s="193"/>
      <c r="D13" s="194"/>
      <c r="E13" s="194"/>
      <c r="F13" s="196"/>
    </row>
    <row r="14" spans="2:6">
      <c r="B14" s="193"/>
      <c r="C14" s="193"/>
      <c r="D14" s="194"/>
      <c r="E14" s="194"/>
      <c r="F14" s="196"/>
    </row>
    <row r="15" spans="2:6">
      <c r="B15" s="193"/>
      <c r="C15" s="193"/>
      <c r="D15" s="194"/>
      <c r="E15" s="194"/>
      <c r="F15" s="196"/>
    </row>
    <row r="16" spans="2:6">
      <c r="B16" s="193"/>
      <c r="C16" s="193"/>
      <c r="D16" s="194"/>
      <c r="E16" s="194"/>
      <c r="F16" s="196"/>
    </row>
    <row r="17" spans="2:6">
      <c r="B17" s="193"/>
      <c r="C17" s="193"/>
      <c r="D17" s="194"/>
      <c r="E17" s="194"/>
      <c r="F17" s="196"/>
    </row>
    <row r="18" spans="2:6">
      <c r="B18" s="193"/>
      <c r="C18" s="193"/>
      <c r="D18" s="194"/>
      <c r="E18" s="194"/>
      <c r="F18" s="196"/>
    </row>
    <row r="19" spans="2:6">
      <c r="B19" s="193"/>
      <c r="C19" s="193"/>
      <c r="D19" s="194"/>
      <c r="E19" s="194"/>
      <c r="F19" s="196"/>
    </row>
    <row r="20" spans="2:6">
      <c r="B20" s="193"/>
      <c r="C20" s="193"/>
      <c r="D20" s="194"/>
      <c r="E20" s="194"/>
      <c r="F20" s="196"/>
    </row>
    <row r="21" spans="2:6">
      <c r="B21" s="193"/>
      <c r="C21" s="193"/>
      <c r="D21" s="194"/>
      <c r="E21" s="194"/>
      <c r="F21" s="196"/>
    </row>
    <row r="22" spans="2:6">
      <c r="B22" s="193"/>
      <c r="C22" s="193"/>
      <c r="D22" s="194"/>
      <c r="E22" s="194"/>
      <c r="F22" s="196"/>
    </row>
    <row r="23" spans="2:6">
      <c r="B23" s="193"/>
      <c r="C23" s="193"/>
      <c r="D23" s="194"/>
      <c r="E23" s="194"/>
      <c r="F23" s="196"/>
    </row>
    <row r="24" spans="2:6">
      <c r="B24" s="193"/>
      <c r="C24" s="193"/>
      <c r="D24" s="194"/>
      <c r="E24" s="194"/>
      <c r="F24" s="196"/>
    </row>
    <row r="25" spans="2:6">
      <c r="B25" s="193"/>
      <c r="C25" s="193"/>
      <c r="D25" s="194"/>
      <c r="E25" s="194"/>
      <c r="F25" s="196"/>
    </row>
    <row r="26" spans="2:6">
      <c r="B26" s="193"/>
      <c r="C26" s="193"/>
      <c r="D26" s="194"/>
      <c r="E26" s="194"/>
      <c r="F26" s="196"/>
    </row>
    <row r="27" spans="2:6">
      <c r="B27" s="193"/>
      <c r="C27" s="193"/>
      <c r="D27" s="194"/>
      <c r="E27" s="194"/>
      <c r="F27" s="196"/>
    </row>
    <row r="28" spans="2:6">
      <c r="B28" s="193"/>
      <c r="C28" s="193"/>
      <c r="D28" s="194"/>
      <c r="E28" s="194"/>
      <c r="F28" s="196"/>
    </row>
    <row r="29" spans="2:6">
      <c r="B29" s="193"/>
      <c r="C29" s="193"/>
      <c r="D29" s="194"/>
      <c r="E29" s="194"/>
      <c r="F29" s="196"/>
    </row>
    <row r="30" spans="2:6">
      <c r="B30" s="193"/>
      <c r="C30" s="193"/>
      <c r="D30" s="194"/>
      <c r="E30" s="194"/>
      <c r="F30" s="196"/>
    </row>
    <row r="31" spans="2:6">
      <c r="B31" s="193"/>
      <c r="C31" s="193"/>
      <c r="D31" s="194"/>
      <c r="E31" s="194"/>
      <c r="F31" s="196"/>
    </row>
    <row r="32" spans="2:6">
      <c r="B32" s="193"/>
      <c r="C32" s="193"/>
      <c r="D32" s="194"/>
      <c r="E32" s="194"/>
      <c r="F32" s="196"/>
    </row>
    <row r="33" spans="2:6">
      <c r="B33" s="193"/>
      <c r="C33" s="193"/>
      <c r="D33" s="194"/>
      <c r="E33" s="194"/>
      <c r="F33" s="196"/>
    </row>
    <row r="34" spans="2:6">
      <c r="B34" s="193"/>
      <c r="C34" s="193"/>
      <c r="D34" s="194"/>
      <c r="E34" s="194"/>
      <c r="F34" s="196"/>
    </row>
    <row r="35" spans="2:6">
      <c r="B35" s="193"/>
      <c r="C35" s="193"/>
      <c r="D35" s="194"/>
      <c r="E35" s="194"/>
      <c r="F35" s="196"/>
    </row>
    <row r="36" spans="2:6">
      <c r="B36" s="193"/>
      <c r="C36" s="193"/>
      <c r="D36" s="194"/>
      <c r="E36" s="194"/>
      <c r="F36" s="196"/>
    </row>
    <row r="37" spans="2:6">
      <c r="B37" s="193"/>
      <c r="C37" s="193"/>
      <c r="D37" s="194"/>
      <c r="E37" s="194"/>
      <c r="F37" s="196"/>
    </row>
    <row r="38" spans="2:6">
      <c r="B38" s="193"/>
      <c r="C38" s="193"/>
      <c r="D38" s="194"/>
      <c r="E38" s="194"/>
      <c r="F38" s="196"/>
    </row>
    <row r="39" spans="2:6">
      <c r="B39" s="193"/>
      <c r="C39" s="193"/>
      <c r="D39" s="194"/>
      <c r="E39" s="194"/>
      <c r="F39" s="196"/>
    </row>
    <row r="40" spans="2:6">
      <c r="B40" s="193"/>
      <c r="C40" s="193"/>
      <c r="D40" s="194"/>
      <c r="E40" s="194"/>
      <c r="F40" s="196"/>
    </row>
    <row r="41" spans="2:6">
      <c r="B41" s="193"/>
      <c r="C41" s="193"/>
      <c r="D41" s="194"/>
      <c r="E41" s="194"/>
      <c r="F41" s="196"/>
    </row>
    <row r="42" spans="2:6">
      <c r="B42" s="193"/>
      <c r="C42" s="193"/>
      <c r="D42" s="194"/>
      <c r="E42" s="194"/>
      <c r="F42" s="196"/>
    </row>
    <row r="43" spans="2:6">
      <c r="B43" s="193"/>
      <c r="C43" s="193"/>
      <c r="D43" s="194"/>
      <c r="E43" s="194"/>
      <c r="F43" s="196"/>
    </row>
    <row r="44" spans="2:6">
      <c r="B44" s="193"/>
      <c r="C44" s="193"/>
      <c r="D44" s="194"/>
      <c r="E44" s="194"/>
      <c r="F44" s="196"/>
    </row>
    <row r="45" spans="2:6">
      <c r="B45" s="193"/>
      <c r="C45" s="193"/>
      <c r="D45" s="194"/>
      <c r="E45" s="194"/>
      <c r="F45" s="196"/>
    </row>
    <row r="46" spans="2:6">
      <c r="B46" s="193"/>
      <c r="C46" s="193"/>
      <c r="D46" s="194"/>
      <c r="E46" s="194"/>
      <c r="F46" s="196"/>
    </row>
    <row r="47" spans="2:6">
      <c r="B47" s="193"/>
      <c r="C47" s="193"/>
      <c r="D47" s="194"/>
      <c r="E47" s="194"/>
      <c r="F47" s="196"/>
    </row>
    <row r="48" spans="2:6">
      <c r="B48" s="193"/>
      <c r="C48" s="193"/>
      <c r="D48" s="194"/>
      <c r="E48" s="194"/>
      <c r="F48" s="196"/>
    </row>
    <row r="49" spans="2:6">
      <c r="B49" s="193"/>
      <c r="C49" s="193"/>
      <c r="D49" s="194"/>
      <c r="E49" s="194"/>
      <c r="F49" s="196"/>
    </row>
    <row r="50" spans="2:6">
      <c r="B50" s="193"/>
      <c r="C50" s="193"/>
      <c r="D50" s="194"/>
      <c r="E50" s="194"/>
      <c r="F50" s="196"/>
    </row>
    <row r="51" spans="2:6">
      <c r="B51" s="193"/>
      <c r="C51" s="193"/>
      <c r="D51" s="194"/>
      <c r="E51" s="194"/>
      <c r="F51" s="196"/>
    </row>
    <row r="52" spans="2:6">
      <c r="B52" s="193"/>
      <c r="C52" s="193"/>
      <c r="D52" s="194"/>
      <c r="E52" s="194"/>
      <c r="F52" s="196"/>
    </row>
    <row r="53" spans="2:6">
      <c r="B53" s="193"/>
      <c r="C53" s="193"/>
      <c r="D53" s="194"/>
      <c r="E53" s="194"/>
      <c r="F53" s="196"/>
    </row>
    <row r="54" spans="2:6">
      <c r="B54" s="193"/>
      <c r="C54" s="193"/>
      <c r="D54" s="194"/>
      <c r="E54" s="194"/>
      <c r="F54" s="196"/>
    </row>
    <row r="55" spans="2:6">
      <c r="B55" s="193"/>
      <c r="C55" s="193"/>
      <c r="D55" s="194"/>
      <c r="E55" s="194"/>
      <c r="F55" s="196"/>
    </row>
    <row r="56" spans="2:6">
      <c r="B56" s="193"/>
      <c r="C56" s="193"/>
      <c r="D56" s="194"/>
      <c r="E56" s="194"/>
      <c r="F56" s="196"/>
    </row>
    <row r="57" spans="2:6">
      <c r="B57" s="193"/>
      <c r="C57" s="193"/>
      <c r="D57" s="194"/>
      <c r="E57" s="194"/>
      <c r="F57" s="196"/>
    </row>
    <row r="58" spans="2:6">
      <c r="B58" s="193"/>
      <c r="C58" s="193"/>
      <c r="D58" s="194"/>
      <c r="E58" s="194"/>
      <c r="F58" s="196"/>
    </row>
    <row r="59" spans="2:6">
      <c r="B59" s="193"/>
      <c r="C59" s="193"/>
      <c r="D59" s="194"/>
      <c r="E59" s="194"/>
      <c r="F59" s="196"/>
    </row>
    <row r="60" spans="2:6">
      <c r="B60" s="193"/>
      <c r="C60" s="193"/>
      <c r="D60" s="194"/>
      <c r="E60" s="194"/>
      <c r="F60" s="196"/>
    </row>
    <row r="61" spans="2:6">
      <c r="B61" s="193"/>
      <c r="C61" s="193"/>
      <c r="D61" s="194"/>
      <c r="E61" s="194"/>
      <c r="F61" s="196"/>
    </row>
    <row r="62" spans="2:6">
      <c r="B62" s="193"/>
      <c r="C62" s="193"/>
      <c r="D62" s="194"/>
      <c r="E62" s="194"/>
      <c r="F62" s="196"/>
    </row>
    <row r="63" spans="2:6">
      <c r="B63" s="193"/>
      <c r="C63" s="193"/>
      <c r="D63" s="194"/>
      <c r="E63" s="194"/>
      <c r="F63" s="196"/>
    </row>
    <row r="64" spans="2:6">
      <c r="B64" s="193"/>
      <c r="C64" s="193"/>
      <c r="D64" s="194"/>
      <c r="E64" s="194"/>
      <c r="F64" s="196"/>
    </row>
    <row r="65" spans="2:6">
      <c r="B65" s="193"/>
      <c r="C65" s="193"/>
      <c r="D65" s="194"/>
      <c r="E65" s="194"/>
      <c r="F65" s="196"/>
    </row>
    <row r="66" spans="2:6">
      <c r="B66" s="193"/>
      <c r="C66" s="193"/>
      <c r="D66" s="194"/>
      <c r="E66" s="194"/>
      <c r="F66" s="196"/>
    </row>
    <row r="67" spans="2:6">
      <c r="B67" s="193"/>
      <c r="C67" s="193"/>
      <c r="D67" s="194"/>
      <c r="E67" s="194"/>
      <c r="F67" s="196"/>
    </row>
    <row r="68" spans="2:6">
      <c r="B68" s="193"/>
      <c r="C68" s="193"/>
      <c r="D68" s="194"/>
      <c r="E68" s="194"/>
      <c r="F68" s="196"/>
    </row>
    <row r="69" spans="2:6">
      <c r="B69" s="193"/>
      <c r="C69" s="193"/>
      <c r="D69" s="194"/>
      <c r="E69" s="194"/>
      <c r="F69" s="196"/>
    </row>
    <row r="70" spans="2:6">
      <c r="B70" s="193"/>
      <c r="C70" s="193"/>
      <c r="D70" s="194"/>
      <c r="E70" s="194"/>
      <c r="F70" s="196"/>
    </row>
    <row r="71" spans="2:6">
      <c r="B71" s="193"/>
      <c r="C71" s="193"/>
      <c r="D71" s="194"/>
      <c r="E71" s="194"/>
      <c r="F71" s="196"/>
    </row>
    <row r="72" spans="2:6">
      <c r="B72" s="193"/>
      <c r="C72" s="193"/>
      <c r="D72" s="194"/>
      <c r="E72" s="194"/>
      <c r="F72" s="196"/>
    </row>
    <row r="73" spans="2:6">
      <c r="B73" s="193"/>
      <c r="C73" s="193"/>
      <c r="D73" s="194"/>
      <c r="E73" s="194"/>
      <c r="F73" s="196"/>
    </row>
    <row r="74" spans="2:6">
      <c r="B74" s="193"/>
      <c r="C74" s="193"/>
      <c r="D74" s="194"/>
      <c r="E74" s="194"/>
      <c r="F74" s="196"/>
    </row>
    <row r="75" spans="2:6">
      <c r="B75" s="193"/>
      <c r="C75" s="193"/>
      <c r="D75" s="194"/>
      <c r="E75" s="194"/>
      <c r="F75" s="196"/>
    </row>
    <row r="76" spans="2:6">
      <c r="B76" s="193"/>
      <c r="C76" s="193"/>
      <c r="D76" s="194"/>
      <c r="E76" s="194"/>
      <c r="F76" s="196"/>
    </row>
    <row r="77" spans="2:6">
      <c r="B77" s="193"/>
      <c r="C77" s="193"/>
      <c r="D77" s="194"/>
      <c r="E77" s="194"/>
      <c r="F77" s="196"/>
    </row>
    <row r="78" spans="2:6">
      <c r="B78" s="193"/>
      <c r="C78" s="193"/>
      <c r="D78" s="194"/>
      <c r="E78" s="194"/>
      <c r="F78" s="196"/>
    </row>
    <row r="79" spans="2:6">
      <c r="B79" s="193"/>
      <c r="C79" s="193"/>
      <c r="D79" s="194"/>
      <c r="E79" s="194"/>
      <c r="F79" s="196"/>
    </row>
    <row r="80" spans="2:6">
      <c r="B80" s="193"/>
      <c r="C80" s="193"/>
      <c r="D80" s="194"/>
      <c r="E80" s="194"/>
      <c r="F80" s="196"/>
    </row>
    <row r="81" spans="2:6">
      <c r="B81" s="193"/>
      <c r="C81" s="193"/>
      <c r="D81" s="194"/>
      <c r="E81" s="194"/>
      <c r="F81" s="196"/>
    </row>
    <row r="82" spans="2:6">
      <c r="B82" s="193"/>
      <c r="C82" s="193"/>
      <c r="D82" s="194"/>
      <c r="E82" s="194"/>
      <c r="F82" s="196"/>
    </row>
    <row r="83" spans="2:6">
      <c r="B83" s="193"/>
      <c r="C83" s="193"/>
      <c r="D83" s="194"/>
      <c r="E83" s="194"/>
      <c r="F83" s="196"/>
    </row>
    <row r="84" spans="2:6">
      <c r="B84" s="193"/>
      <c r="C84" s="193"/>
      <c r="D84" s="194"/>
      <c r="E84" s="194"/>
      <c r="F84" s="196"/>
    </row>
    <row r="85" spans="2:6">
      <c r="B85" s="193"/>
      <c r="C85" s="193"/>
      <c r="D85" s="194"/>
      <c r="E85" s="194"/>
      <c r="F85" s="196"/>
    </row>
    <row r="86" spans="2:6">
      <c r="B86" s="193"/>
      <c r="C86" s="193"/>
      <c r="D86" s="194"/>
      <c r="E86" s="194"/>
      <c r="F86" s="196"/>
    </row>
    <row r="87" spans="2:6">
      <c r="B87" s="193"/>
      <c r="C87" s="193"/>
      <c r="D87" s="194"/>
      <c r="E87" s="194"/>
      <c r="F87" s="196"/>
    </row>
    <row r="88" spans="2:6">
      <c r="B88" s="193"/>
      <c r="C88" s="193"/>
      <c r="D88" s="194"/>
      <c r="E88" s="194"/>
      <c r="F88" s="196"/>
    </row>
    <row r="89" spans="2:6">
      <c r="B89" s="193"/>
      <c r="C89" s="193"/>
      <c r="D89" s="194"/>
      <c r="E89" s="194"/>
      <c r="F89" s="196"/>
    </row>
    <row r="90" spans="2:6">
      <c r="B90" s="193"/>
      <c r="C90" s="193"/>
      <c r="D90" s="194"/>
      <c r="E90" s="194"/>
      <c r="F90" s="196"/>
    </row>
    <row r="91" spans="2:6">
      <c r="B91" s="193"/>
      <c r="C91" s="193"/>
      <c r="D91" s="194"/>
      <c r="E91" s="194"/>
      <c r="F91" s="196"/>
    </row>
    <row r="92" spans="2:6">
      <c r="B92" s="193"/>
      <c r="C92" s="193"/>
      <c r="D92" s="194"/>
      <c r="E92" s="194"/>
      <c r="F92" s="196"/>
    </row>
    <row r="93" spans="2:6">
      <c r="B93" s="193"/>
      <c r="C93" s="193"/>
      <c r="D93" s="194"/>
      <c r="E93" s="194"/>
      <c r="F93" s="196"/>
    </row>
    <row r="94" spans="2:6">
      <c r="B94" s="193"/>
      <c r="C94" s="193"/>
      <c r="D94" s="194"/>
      <c r="E94" s="194"/>
      <c r="F94" s="196"/>
    </row>
    <row r="95" spans="2:6">
      <c r="B95" s="193"/>
      <c r="C95" s="193"/>
      <c r="D95" s="194"/>
      <c r="E95" s="194"/>
      <c r="F95" s="196"/>
    </row>
    <row r="96" spans="2:6">
      <c r="B96" s="193"/>
      <c r="C96" s="193"/>
      <c r="D96" s="194"/>
      <c r="E96" s="194"/>
      <c r="F96" s="196"/>
    </row>
    <row r="97" spans="2:6">
      <c r="B97" s="193"/>
      <c r="C97" s="193"/>
      <c r="D97" s="194"/>
      <c r="E97" s="194"/>
      <c r="F97" s="196"/>
    </row>
    <row r="98" spans="2:6">
      <c r="B98" s="193"/>
      <c r="C98" s="193"/>
      <c r="D98" s="194"/>
      <c r="E98" s="194"/>
      <c r="F98" s="196"/>
    </row>
    <row r="99" spans="2:6">
      <c r="B99" s="193"/>
      <c r="C99" s="193"/>
      <c r="D99" s="194"/>
      <c r="E99" s="194"/>
      <c r="F99" s="196"/>
    </row>
    <row r="100" spans="2:6">
      <c r="B100" s="193"/>
      <c r="C100" s="193"/>
      <c r="D100" s="194"/>
      <c r="E100" s="194"/>
      <c r="F100" s="196"/>
    </row>
    <row r="101" spans="2:6">
      <c r="B101" s="193"/>
      <c r="C101" s="193"/>
      <c r="D101" s="194"/>
      <c r="E101" s="194"/>
      <c r="F101" s="196"/>
    </row>
    <row r="102" spans="2:6">
      <c r="B102" s="193"/>
      <c r="C102" s="193"/>
      <c r="D102" s="194"/>
      <c r="E102" s="194"/>
      <c r="F102" s="196"/>
    </row>
    <row r="103" spans="2:6">
      <c r="B103" s="193"/>
      <c r="C103" s="193"/>
      <c r="D103" s="194"/>
      <c r="E103" s="194"/>
      <c r="F103" s="196"/>
    </row>
    <row r="104" spans="2:6">
      <c r="B104" s="193"/>
      <c r="C104" s="193"/>
      <c r="D104" s="194"/>
      <c r="E104" s="194"/>
      <c r="F104" s="196"/>
    </row>
    <row r="105" spans="2:6">
      <c r="B105" s="193"/>
      <c r="C105" s="193"/>
      <c r="D105" s="194"/>
      <c r="E105" s="194"/>
      <c r="F105" s="196"/>
    </row>
    <row r="106" spans="2:6">
      <c r="B106" s="193"/>
      <c r="C106" s="193"/>
      <c r="D106" s="194"/>
      <c r="E106" s="194"/>
      <c r="F106" s="196"/>
    </row>
    <row r="107" spans="2:6">
      <c r="B107" s="193"/>
      <c r="C107" s="193"/>
      <c r="D107" s="194"/>
      <c r="E107" s="194"/>
      <c r="F107" s="196"/>
    </row>
    <row r="108" spans="2:6">
      <c r="B108" s="193"/>
      <c r="C108" s="193"/>
      <c r="D108" s="194"/>
      <c r="E108" s="194"/>
      <c r="F108" s="196"/>
    </row>
    <row r="109" spans="2:6">
      <c r="B109" s="193"/>
      <c r="C109" s="193"/>
      <c r="D109" s="194"/>
      <c r="E109" s="194"/>
      <c r="F109" s="196"/>
    </row>
    <row r="110" spans="2:6">
      <c r="B110" s="193"/>
      <c r="C110" s="193"/>
      <c r="D110" s="194"/>
      <c r="E110" s="194"/>
      <c r="F110" s="196"/>
    </row>
    <row r="111" spans="2:6">
      <c r="B111" s="193"/>
      <c r="C111" s="193"/>
      <c r="D111" s="194"/>
      <c r="E111" s="194"/>
      <c r="F111" s="196"/>
    </row>
    <row r="112" spans="2:6">
      <c r="B112" s="193"/>
      <c r="C112" s="193"/>
      <c r="D112" s="194"/>
      <c r="E112" s="194"/>
      <c r="F112" s="196"/>
    </row>
    <row r="113" spans="2:6">
      <c r="B113" s="193"/>
      <c r="C113" s="193"/>
      <c r="D113" s="194"/>
      <c r="E113" s="194"/>
      <c r="F113" s="196"/>
    </row>
    <row r="114" spans="2:6">
      <c r="B114" s="193"/>
      <c r="C114" s="193"/>
      <c r="D114" s="194"/>
      <c r="E114" s="194"/>
      <c r="F114" s="196"/>
    </row>
    <row r="115" spans="2:6">
      <c r="B115" s="193"/>
      <c r="C115" s="193"/>
      <c r="D115" s="194"/>
      <c r="E115" s="194"/>
      <c r="F115" s="196"/>
    </row>
    <row r="116" spans="2:6">
      <c r="B116" s="193"/>
      <c r="C116" s="193"/>
      <c r="D116" s="194"/>
      <c r="E116" s="194"/>
      <c r="F116" s="196"/>
    </row>
    <row r="117" spans="2:6">
      <c r="B117" s="193"/>
      <c r="C117" s="193"/>
      <c r="D117" s="194"/>
      <c r="E117" s="194"/>
      <c r="F117" s="196"/>
    </row>
    <row r="118" spans="2:6">
      <c r="B118" s="193"/>
      <c r="C118" s="193"/>
      <c r="D118" s="194"/>
      <c r="E118" s="194"/>
      <c r="F118" s="196"/>
    </row>
    <row r="119" spans="2:6">
      <c r="B119" s="193"/>
      <c r="C119" s="193"/>
      <c r="D119" s="194"/>
      <c r="E119" s="194"/>
      <c r="F119" s="196"/>
    </row>
    <row r="120" spans="2:6">
      <c r="B120" s="193"/>
      <c r="C120" s="193"/>
      <c r="D120" s="194"/>
      <c r="E120" s="194"/>
      <c r="F120" s="196"/>
    </row>
    <row r="121" spans="2:6">
      <c r="B121" s="193"/>
      <c r="C121" s="193"/>
      <c r="D121" s="194"/>
      <c r="E121" s="194"/>
      <c r="F121" s="196"/>
    </row>
    <row r="122" spans="2:6">
      <c r="B122" s="193"/>
      <c r="C122" s="193"/>
      <c r="D122" s="194"/>
      <c r="E122" s="194"/>
      <c r="F122" s="196"/>
    </row>
    <row r="123" spans="2:6">
      <c r="B123" s="193"/>
      <c r="C123" s="193"/>
      <c r="D123" s="194"/>
      <c r="E123" s="194"/>
      <c r="F123" s="196"/>
    </row>
    <row r="124" spans="2:6">
      <c r="B124" s="193"/>
      <c r="C124" s="193"/>
      <c r="D124" s="194"/>
      <c r="E124" s="194"/>
      <c r="F124" s="196"/>
    </row>
    <row r="125" spans="2:6">
      <c r="B125" s="193"/>
      <c r="C125" s="193"/>
      <c r="D125" s="194"/>
      <c r="E125" s="194"/>
      <c r="F125" s="196"/>
    </row>
    <row r="126" spans="2:6">
      <c r="B126" s="193"/>
      <c r="C126" s="193"/>
      <c r="D126" s="194"/>
      <c r="E126" s="194"/>
      <c r="F126" s="196"/>
    </row>
    <row r="127" spans="2:6">
      <c r="B127" s="193"/>
      <c r="C127" s="193"/>
      <c r="D127" s="194"/>
      <c r="E127" s="194"/>
      <c r="F127" s="196"/>
    </row>
    <row r="128" spans="2:6">
      <c r="B128" s="193"/>
      <c r="C128" s="193"/>
      <c r="D128" s="194"/>
      <c r="E128" s="194"/>
      <c r="F128" s="196"/>
    </row>
    <row r="129" spans="2:6">
      <c r="B129" s="193"/>
      <c r="C129" s="193"/>
      <c r="D129" s="194"/>
      <c r="E129" s="194"/>
      <c r="F129" s="196"/>
    </row>
    <row r="130" spans="2:6">
      <c r="B130" s="193"/>
      <c r="C130" s="193"/>
      <c r="D130" s="194"/>
      <c r="E130" s="194"/>
      <c r="F130" s="196"/>
    </row>
    <row r="131" spans="2:6">
      <c r="B131" s="193"/>
      <c r="C131" s="193"/>
      <c r="D131" s="194"/>
      <c r="E131" s="194"/>
      <c r="F131" s="196"/>
    </row>
    <row r="132" spans="2:6">
      <c r="B132" s="193"/>
      <c r="C132" s="193"/>
      <c r="D132" s="194"/>
      <c r="E132" s="194"/>
      <c r="F132" s="196"/>
    </row>
    <row r="133" spans="2:6">
      <c r="B133" s="193"/>
      <c r="C133" s="193"/>
      <c r="D133" s="194"/>
      <c r="E133" s="194"/>
      <c r="F133" s="196"/>
    </row>
    <row r="134" spans="2:6">
      <c r="B134" s="193"/>
      <c r="C134" s="193"/>
      <c r="D134" s="194"/>
      <c r="E134" s="194"/>
      <c r="F134" s="196"/>
    </row>
    <row r="135" spans="2:6">
      <c r="B135" s="193"/>
      <c r="C135" s="193"/>
      <c r="D135" s="194"/>
      <c r="E135" s="194"/>
      <c r="F135" s="196"/>
    </row>
    <row r="136" spans="2:6">
      <c r="B136" s="193"/>
      <c r="C136" s="193"/>
      <c r="D136" s="194"/>
      <c r="E136" s="194"/>
      <c r="F136" s="196"/>
    </row>
    <row r="137" spans="2:6">
      <c r="B137" s="193"/>
      <c r="C137" s="193"/>
      <c r="D137" s="194"/>
      <c r="E137" s="194"/>
      <c r="F137" s="196"/>
    </row>
    <row r="138" spans="2:6">
      <c r="B138" s="193"/>
      <c r="C138" s="193"/>
      <c r="D138" s="194"/>
      <c r="E138" s="194"/>
      <c r="F138" s="196"/>
    </row>
    <row r="139" spans="2:6">
      <c r="B139" s="193"/>
      <c r="C139" s="193"/>
      <c r="D139" s="194"/>
      <c r="E139" s="194"/>
      <c r="F139" s="196"/>
    </row>
    <row r="140" spans="2:6">
      <c r="B140" s="193"/>
      <c r="C140" s="193"/>
      <c r="D140" s="194"/>
      <c r="E140" s="194"/>
      <c r="F140" s="196"/>
    </row>
    <row r="141" spans="2:6">
      <c r="B141" s="193"/>
      <c r="C141" s="193"/>
      <c r="D141" s="194"/>
      <c r="E141" s="194"/>
      <c r="F141" s="196"/>
    </row>
    <row r="142" spans="2:6">
      <c r="B142" s="193"/>
      <c r="C142" s="193"/>
      <c r="D142" s="194"/>
      <c r="E142" s="194"/>
      <c r="F142" s="196"/>
    </row>
    <row r="143" spans="2:6">
      <c r="B143" s="193"/>
      <c r="C143" s="193"/>
      <c r="D143" s="194"/>
      <c r="E143" s="194"/>
      <c r="F143" s="196"/>
    </row>
    <row r="144" spans="2:6">
      <c r="B144" s="193"/>
      <c r="C144" s="193"/>
      <c r="D144" s="194"/>
      <c r="E144" s="194"/>
      <c r="F144" s="196"/>
    </row>
    <row r="145" spans="2:6">
      <c r="B145" s="193"/>
      <c r="C145" s="193"/>
      <c r="D145" s="194"/>
      <c r="E145" s="194"/>
      <c r="F145" s="196"/>
    </row>
    <row r="146" spans="2:6">
      <c r="B146" s="193"/>
      <c r="C146" s="193"/>
      <c r="D146" s="194"/>
      <c r="E146" s="194"/>
      <c r="F146" s="196"/>
    </row>
    <row r="147" spans="2:6">
      <c r="B147" s="193"/>
      <c r="C147" s="193"/>
      <c r="D147" s="194"/>
      <c r="E147" s="194"/>
      <c r="F147" s="196"/>
    </row>
    <row r="148" spans="2:6">
      <c r="B148" s="193"/>
      <c r="C148" s="193"/>
      <c r="D148" s="194"/>
      <c r="E148" s="194"/>
      <c r="F148" s="196"/>
    </row>
    <row r="149" spans="2:6">
      <c r="B149" s="193"/>
      <c r="C149" s="193"/>
      <c r="D149" s="194"/>
      <c r="E149" s="194"/>
      <c r="F149" s="196"/>
    </row>
    <row r="150" spans="2:6">
      <c r="B150" s="193"/>
      <c r="C150" s="193"/>
      <c r="D150" s="194"/>
      <c r="E150" s="194"/>
      <c r="F150" s="196"/>
    </row>
    <row r="151" spans="2:6">
      <c r="B151" s="193"/>
      <c r="C151" s="193"/>
      <c r="D151" s="194"/>
      <c r="E151" s="194"/>
      <c r="F151" s="196"/>
    </row>
    <row r="152" spans="2:6">
      <c r="B152" s="193"/>
      <c r="C152" s="193"/>
      <c r="D152" s="194"/>
      <c r="E152" s="194"/>
      <c r="F152" s="196"/>
    </row>
    <row r="153" spans="2:6">
      <c r="B153" s="193"/>
      <c r="C153" s="193"/>
      <c r="D153" s="194"/>
      <c r="E153" s="194"/>
      <c r="F153" s="196"/>
    </row>
    <row r="154" spans="2:6">
      <c r="B154" s="193"/>
      <c r="C154" s="193"/>
      <c r="D154" s="194"/>
      <c r="E154" s="194"/>
      <c r="F154" s="196"/>
    </row>
    <row r="155" spans="2:6">
      <c r="B155" s="193"/>
      <c r="C155" s="193"/>
      <c r="D155" s="194"/>
      <c r="E155" s="194"/>
      <c r="F155" s="196"/>
    </row>
    <row r="156" spans="2:6">
      <c r="B156" s="193"/>
      <c r="C156" s="193"/>
      <c r="D156" s="194"/>
      <c r="E156" s="194"/>
      <c r="F156" s="196"/>
    </row>
    <row r="157" spans="2:6">
      <c r="B157" s="193"/>
      <c r="C157" s="193"/>
      <c r="D157" s="194"/>
      <c r="E157" s="194"/>
      <c r="F157" s="196"/>
    </row>
    <row r="158" spans="2:6">
      <c r="B158" s="193"/>
      <c r="C158" s="193"/>
      <c r="D158" s="194"/>
      <c r="E158" s="194"/>
      <c r="F158" s="196"/>
    </row>
    <row r="159" spans="2:6">
      <c r="B159" s="193"/>
      <c r="C159" s="193"/>
      <c r="D159" s="194"/>
      <c r="E159" s="194"/>
      <c r="F159" s="196"/>
    </row>
    <row r="160" spans="2:6">
      <c r="B160" s="193"/>
      <c r="C160" s="193"/>
      <c r="D160" s="194"/>
      <c r="E160" s="194"/>
      <c r="F160" s="196"/>
    </row>
    <row r="161" spans="2:6">
      <c r="B161" s="193"/>
      <c r="C161" s="193"/>
      <c r="D161" s="194"/>
      <c r="E161" s="194"/>
      <c r="F161" s="196"/>
    </row>
    <row r="162" spans="2:6">
      <c r="B162" s="193"/>
      <c r="C162" s="193"/>
      <c r="D162" s="194"/>
      <c r="E162" s="194"/>
      <c r="F162" s="196"/>
    </row>
    <row r="163" spans="2:6">
      <c r="B163" s="193"/>
      <c r="C163" s="193"/>
      <c r="D163" s="194"/>
      <c r="E163" s="194"/>
      <c r="F163" s="196"/>
    </row>
    <row r="164" spans="2:6">
      <c r="B164" s="193"/>
      <c r="C164" s="193"/>
      <c r="D164" s="194"/>
      <c r="E164" s="194"/>
      <c r="F164" s="196"/>
    </row>
    <row r="165" spans="2:6">
      <c r="B165" s="193"/>
      <c r="C165" s="193"/>
      <c r="D165" s="194"/>
      <c r="E165" s="194"/>
      <c r="F165" s="196"/>
    </row>
    <row r="166" spans="2:6">
      <c r="B166" s="193"/>
      <c r="C166" s="193"/>
      <c r="D166" s="194"/>
      <c r="E166" s="194"/>
      <c r="F166" s="196"/>
    </row>
    <row r="167" spans="2:6">
      <c r="B167" s="193"/>
      <c r="C167" s="193"/>
      <c r="D167" s="194"/>
      <c r="E167" s="194"/>
      <c r="F167" s="196"/>
    </row>
    <row r="168" spans="2:6">
      <c r="B168" s="193"/>
      <c r="C168" s="193"/>
      <c r="D168" s="194"/>
      <c r="E168" s="194"/>
      <c r="F168" s="196"/>
    </row>
    <row r="169" spans="2:6">
      <c r="B169" s="193"/>
      <c r="C169" s="193"/>
      <c r="D169" s="194"/>
      <c r="E169" s="194"/>
      <c r="F169" s="196"/>
    </row>
    <row r="170" spans="2:6">
      <c r="B170" s="193"/>
      <c r="C170" s="193"/>
      <c r="D170" s="194"/>
      <c r="E170" s="194"/>
      <c r="F170" s="196"/>
    </row>
    <row r="171" spans="2:6">
      <c r="B171" s="193"/>
      <c r="C171" s="193"/>
      <c r="D171" s="194"/>
      <c r="E171" s="194"/>
      <c r="F171" s="196"/>
    </row>
    <row r="172" spans="2:6">
      <c r="B172" s="193"/>
      <c r="C172" s="193"/>
      <c r="D172" s="194"/>
      <c r="E172" s="194"/>
      <c r="F172" s="196"/>
    </row>
    <row r="173" spans="2:6">
      <c r="B173" s="193"/>
      <c r="C173" s="193"/>
      <c r="D173" s="194"/>
      <c r="E173" s="194"/>
      <c r="F173" s="196"/>
    </row>
    <row r="174" spans="2:6">
      <c r="B174" s="193"/>
      <c r="C174" s="193"/>
      <c r="D174" s="194"/>
      <c r="E174" s="194"/>
      <c r="F174" s="196"/>
    </row>
    <row r="175" spans="2:6">
      <c r="B175" s="193"/>
      <c r="C175" s="193"/>
      <c r="D175" s="194"/>
      <c r="E175" s="194"/>
      <c r="F175" s="196"/>
    </row>
    <row r="176" spans="2:6">
      <c r="B176" s="193"/>
      <c r="C176" s="193"/>
      <c r="D176" s="194"/>
      <c r="E176" s="194"/>
      <c r="F176" s="196"/>
    </row>
    <row r="177" spans="2:6">
      <c r="B177" s="193"/>
      <c r="C177" s="193"/>
      <c r="D177" s="194"/>
      <c r="E177" s="194"/>
      <c r="F177" s="196"/>
    </row>
    <row r="178" spans="2:6">
      <c r="B178" s="193"/>
      <c r="C178" s="193"/>
      <c r="D178" s="194"/>
      <c r="E178" s="194"/>
      <c r="F178" s="196"/>
    </row>
    <row r="179" spans="2:6">
      <c r="B179" s="193"/>
      <c r="C179" s="193"/>
      <c r="D179" s="194"/>
      <c r="E179" s="194"/>
      <c r="F179" s="196"/>
    </row>
    <row r="180" spans="2:6">
      <c r="B180" s="193"/>
      <c r="C180" s="193"/>
      <c r="D180" s="194"/>
      <c r="E180" s="194"/>
      <c r="F180" s="196"/>
    </row>
    <row r="181" spans="2:6">
      <c r="B181" s="193"/>
      <c r="C181" s="193"/>
      <c r="D181" s="194"/>
      <c r="E181" s="194"/>
      <c r="F181" s="196"/>
    </row>
    <row r="182" spans="2:6">
      <c r="B182" s="193"/>
      <c r="C182" s="193"/>
      <c r="D182" s="194"/>
      <c r="E182" s="194"/>
      <c r="F182" s="196"/>
    </row>
    <row r="183" spans="2:6">
      <c r="B183" s="193"/>
      <c r="C183" s="193"/>
      <c r="D183" s="194"/>
      <c r="E183" s="194"/>
      <c r="F183" s="196"/>
    </row>
    <row r="184" spans="2:6">
      <c r="B184" s="193"/>
      <c r="C184" s="193"/>
      <c r="D184" s="194"/>
      <c r="E184" s="194"/>
      <c r="F184" s="196"/>
    </row>
    <row r="185" spans="2:6">
      <c r="B185" s="193"/>
      <c r="C185" s="193"/>
      <c r="D185" s="194"/>
      <c r="E185" s="194"/>
      <c r="F185" s="196"/>
    </row>
    <row r="186" spans="2:6">
      <c r="B186" s="193"/>
      <c r="C186" s="193"/>
      <c r="D186" s="194"/>
      <c r="E186" s="194"/>
      <c r="F186" s="196"/>
    </row>
    <row r="187" spans="2:6">
      <c r="B187" s="193"/>
      <c r="C187" s="193"/>
      <c r="D187" s="194"/>
      <c r="E187" s="194"/>
      <c r="F187" s="196"/>
    </row>
    <row r="188" spans="2:6">
      <c r="B188" s="193"/>
      <c r="C188" s="193"/>
      <c r="D188" s="194"/>
      <c r="E188" s="194"/>
      <c r="F188" s="196"/>
    </row>
    <row r="189" spans="2:6">
      <c r="B189" s="193"/>
      <c r="C189" s="193"/>
      <c r="D189" s="194"/>
      <c r="E189" s="194"/>
      <c r="F189" s="196"/>
    </row>
    <row r="190" spans="2:6">
      <c r="B190" s="193"/>
      <c r="C190" s="193"/>
      <c r="D190" s="194"/>
      <c r="E190" s="194"/>
      <c r="F190" s="196"/>
    </row>
    <row r="191" spans="2:6">
      <c r="B191" s="193"/>
      <c r="C191" s="193"/>
      <c r="D191" s="194"/>
      <c r="E191" s="194"/>
      <c r="F191" s="196"/>
    </row>
    <row r="192" spans="2:6">
      <c r="B192" s="193"/>
      <c r="C192" s="193"/>
      <c r="D192" s="194"/>
      <c r="E192" s="194"/>
      <c r="F192" s="196"/>
    </row>
    <row r="193" spans="2:6">
      <c r="B193" s="193"/>
      <c r="C193" s="193"/>
      <c r="D193" s="194"/>
      <c r="E193" s="194"/>
      <c r="F193" s="196"/>
    </row>
    <row r="194" spans="2:6">
      <c r="B194" s="193"/>
      <c r="C194" s="193"/>
      <c r="D194" s="194"/>
      <c r="E194" s="194"/>
      <c r="F194" s="196"/>
    </row>
    <row r="195" spans="2:6">
      <c r="B195" s="193"/>
      <c r="C195" s="193"/>
      <c r="D195" s="194"/>
      <c r="E195" s="194"/>
      <c r="F195" s="196"/>
    </row>
    <row r="196" spans="2:6">
      <c r="B196" s="193"/>
      <c r="C196" s="193"/>
      <c r="D196" s="194"/>
      <c r="E196" s="194"/>
      <c r="F196" s="196"/>
    </row>
    <row r="197" spans="2:6">
      <c r="B197" s="193"/>
      <c r="C197" s="193"/>
      <c r="D197" s="194"/>
      <c r="E197" s="194"/>
      <c r="F197" s="196"/>
    </row>
    <row r="198" spans="2:6">
      <c r="B198" s="193"/>
      <c r="C198" s="193"/>
      <c r="D198" s="194"/>
      <c r="E198" s="194"/>
      <c r="F198" s="196"/>
    </row>
    <row r="199" spans="2:6">
      <c r="B199" s="193"/>
      <c r="C199" s="193"/>
      <c r="D199" s="194"/>
      <c r="E199" s="194"/>
      <c r="F199" s="196"/>
    </row>
    <row r="200" spans="2:6">
      <c r="B200" s="193"/>
      <c r="C200" s="193"/>
      <c r="D200" s="194"/>
      <c r="E200" s="194"/>
      <c r="F200" s="196"/>
    </row>
    <row r="201" spans="2:6">
      <c r="B201" s="193"/>
      <c r="C201" s="193"/>
      <c r="D201" s="194"/>
      <c r="E201" s="194"/>
      <c r="F201" s="196"/>
    </row>
    <row r="202" spans="2:6">
      <c r="B202" s="193"/>
      <c r="C202" s="193"/>
      <c r="D202" s="194"/>
      <c r="E202" s="194"/>
      <c r="F202" s="196"/>
    </row>
    <row r="203" spans="2:6">
      <c r="B203" s="193"/>
      <c r="C203" s="193"/>
      <c r="D203" s="194"/>
      <c r="E203" s="194"/>
      <c r="F203" s="196"/>
    </row>
    <row r="204" spans="2:6">
      <c r="B204" s="193"/>
      <c r="C204" s="193"/>
      <c r="D204" s="194"/>
      <c r="E204" s="194"/>
      <c r="F204" s="196"/>
    </row>
    <row r="205" spans="2:6">
      <c r="B205" s="193"/>
      <c r="C205" s="193"/>
      <c r="D205" s="194"/>
      <c r="E205" s="194"/>
      <c r="F205" s="196"/>
    </row>
    <row r="206" spans="2:6">
      <c r="B206" s="193"/>
      <c r="C206" s="193"/>
      <c r="D206" s="194"/>
      <c r="E206" s="194"/>
      <c r="F206" s="196"/>
    </row>
    <row r="207" spans="2:6">
      <c r="B207" s="193"/>
      <c r="C207" s="193"/>
      <c r="D207" s="194"/>
      <c r="E207" s="194"/>
      <c r="F207" s="196"/>
    </row>
    <row r="208" spans="2:6">
      <c r="B208" s="193"/>
      <c r="C208" s="193"/>
      <c r="D208" s="194"/>
      <c r="E208" s="194"/>
      <c r="F208" s="196"/>
    </row>
    <row r="209" spans="2:6">
      <c r="B209" s="193"/>
      <c r="C209" s="193"/>
      <c r="D209" s="194"/>
      <c r="E209" s="194"/>
      <c r="F209" s="196"/>
    </row>
    <row r="210" spans="2:6">
      <c r="B210" s="193"/>
      <c r="C210" s="193"/>
      <c r="D210" s="194"/>
      <c r="E210" s="194"/>
      <c r="F210" s="196"/>
    </row>
    <row r="211" spans="2:6">
      <c r="B211" s="193"/>
      <c r="C211" s="193"/>
      <c r="D211" s="194"/>
      <c r="E211" s="194"/>
      <c r="F211" s="196"/>
    </row>
    <row r="212" spans="2:6">
      <c r="B212" s="193"/>
      <c r="C212" s="193"/>
      <c r="D212" s="194"/>
      <c r="E212" s="194"/>
      <c r="F212" s="196"/>
    </row>
    <row r="213" spans="2:6">
      <c r="B213" s="193"/>
      <c r="C213" s="193"/>
      <c r="D213" s="194"/>
      <c r="E213" s="194"/>
      <c r="F213" s="196"/>
    </row>
    <row r="214" spans="2:6">
      <c r="B214" s="193"/>
      <c r="C214" s="193"/>
      <c r="D214" s="194"/>
      <c r="E214" s="194"/>
      <c r="F214" s="196"/>
    </row>
    <row r="215" spans="2:6">
      <c r="B215" s="193"/>
      <c r="C215" s="193"/>
      <c r="D215" s="194"/>
      <c r="E215" s="194"/>
      <c r="F215" s="196"/>
    </row>
    <row r="216" spans="2:6">
      <c r="B216" s="193"/>
      <c r="C216" s="193"/>
      <c r="D216" s="194"/>
      <c r="E216" s="194"/>
      <c r="F216" s="196"/>
    </row>
    <row r="217" spans="2:6">
      <c r="B217" s="193"/>
      <c r="C217" s="193"/>
      <c r="D217" s="194"/>
      <c r="E217" s="194"/>
      <c r="F217" s="196"/>
    </row>
    <row r="218" spans="2:6">
      <c r="B218" s="193"/>
      <c r="C218" s="193"/>
      <c r="D218" s="194"/>
      <c r="E218" s="194"/>
      <c r="F218" s="196"/>
    </row>
    <row r="219" spans="2:6">
      <c r="B219" s="193"/>
      <c r="C219" s="193"/>
      <c r="D219" s="194"/>
      <c r="E219" s="194"/>
      <c r="F219" s="196"/>
    </row>
    <row r="220" spans="2:6">
      <c r="B220" s="193"/>
      <c r="C220" s="193"/>
      <c r="D220" s="194"/>
      <c r="E220" s="194"/>
      <c r="F220" s="196"/>
    </row>
    <row r="221" spans="2:6">
      <c r="B221" s="193"/>
      <c r="C221" s="193"/>
      <c r="D221" s="194"/>
      <c r="E221" s="194"/>
      <c r="F221" s="196"/>
    </row>
    <row r="222" spans="2:6">
      <c r="B222" s="193"/>
      <c r="C222" s="193"/>
      <c r="D222" s="194"/>
      <c r="E222" s="194"/>
      <c r="F222" s="196"/>
    </row>
    <row r="223" spans="2:6">
      <c r="B223" s="193"/>
      <c r="C223" s="193"/>
      <c r="D223" s="194"/>
      <c r="E223" s="194"/>
      <c r="F223" s="196"/>
    </row>
    <row r="224" spans="2:6">
      <c r="B224" s="193"/>
      <c r="C224" s="193"/>
      <c r="D224" s="194"/>
      <c r="E224" s="194"/>
      <c r="F224" s="196"/>
    </row>
    <row r="225" spans="2:6">
      <c r="B225" s="193"/>
      <c r="C225" s="193"/>
      <c r="D225" s="194"/>
      <c r="E225" s="194"/>
      <c r="F225" s="196"/>
    </row>
    <row r="226" spans="2:6">
      <c r="B226" s="193"/>
      <c r="C226" s="193"/>
      <c r="D226" s="194"/>
      <c r="E226" s="194"/>
      <c r="F226" s="196"/>
    </row>
    <row r="227" spans="2:6">
      <c r="B227" s="193"/>
      <c r="C227" s="193"/>
      <c r="D227" s="194"/>
      <c r="E227" s="194"/>
      <c r="F227" s="196"/>
    </row>
    <row r="228" spans="2:6">
      <c r="B228" s="193"/>
      <c r="C228" s="193"/>
      <c r="D228" s="194"/>
      <c r="E228" s="194"/>
      <c r="F228" s="196"/>
    </row>
    <row r="229" spans="2:6">
      <c r="B229" s="193"/>
      <c r="C229" s="193"/>
      <c r="D229" s="194"/>
      <c r="E229" s="194"/>
      <c r="F229" s="196"/>
    </row>
    <row r="230" spans="2:6">
      <c r="B230" s="193"/>
      <c r="C230" s="193"/>
      <c r="D230" s="194"/>
      <c r="E230" s="194"/>
      <c r="F230" s="196"/>
    </row>
    <row r="231" spans="2:6">
      <c r="B231" s="193"/>
      <c r="C231" s="193"/>
      <c r="D231" s="194"/>
      <c r="E231" s="194"/>
      <c r="F231" s="196"/>
    </row>
    <row r="232" spans="2:6">
      <c r="B232" s="193"/>
      <c r="C232" s="193"/>
      <c r="D232" s="194"/>
      <c r="E232" s="194"/>
      <c r="F232" s="196"/>
    </row>
    <row r="233" spans="2:6">
      <c r="B233" s="193"/>
      <c r="C233" s="193"/>
      <c r="D233" s="194"/>
      <c r="E233" s="194"/>
      <c r="F233" s="196"/>
    </row>
    <row r="234" spans="2:6">
      <c r="B234" s="193"/>
      <c r="C234" s="193"/>
      <c r="D234" s="194"/>
      <c r="E234" s="194"/>
      <c r="F234" s="196"/>
    </row>
    <row r="235" spans="2:6">
      <c r="B235" s="193"/>
      <c r="C235" s="193"/>
      <c r="D235" s="194"/>
      <c r="E235" s="194"/>
      <c r="F235" s="196"/>
    </row>
    <row r="236" spans="2:6">
      <c r="B236" s="193"/>
      <c r="C236" s="193"/>
      <c r="D236" s="194"/>
      <c r="E236" s="194"/>
      <c r="F236" s="196"/>
    </row>
    <row r="237" spans="2:6">
      <c r="B237" s="193"/>
      <c r="C237" s="193"/>
      <c r="D237" s="194"/>
      <c r="E237" s="194"/>
      <c r="F237" s="196"/>
    </row>
    <row r="238" spans="2:6">
      <c r="B238" s="193"/>
      <c r="C238" s="193"/>
      <c r="D238" s="194"/>
      <c r="E238" s="194"/>
      <c r="F238" s="196"/>
    </row>
    <row r="239" spans="2:6">
      <c r="B239" s="193"/>
      <c r="C239" s="193"/>
      <c r="D239" s="194"/>
      <c r="E239" s="194"/>
      <c r="F239" s="196"/>
    </row>
    <row r="240" spans="2:6">
      <c r="B240" s="193"/>
      <c r="C240" s="193"/>
      <c r="D240" s="194"/>
      <c r="E240" s="194"/>
      <c r="F240" s="196"/>
    </row>
    <row r="241" spans="2:6">
      <c r="B241" s="193"/>
      <c r="C241" s="193"/>
      <c r="D241" s="194"/>
      <c r="E241" s="194"/>
      <c r="F241" s="196"/>
    </row>
    <row r="242" spans="2:6">
      <c r="B242" s="193"/>
      <c r="C242" s="193"/>
      <c r="D242" s="194"/>
      <c r="E242" s="194"/>
      <c r="F242" s="196"/>
    </row>
    <row r="243" spans="2:6">
      <c r="B243" s="193"/>
      <c r="C243" s="193"/>
      <c r="D243" s="194"/>
      <c r="E243" s="194"/>
      <c r="F243" s="196"/>
    </row>
    <row r="244" spans="2:6">
      <c r="B244" s="193"/>
      <c r="C244" s="193"/>
      <c r="D244" s="194"/>
      <c r="E244" s="194"/>
      <c r="F244" s="196"/>
    </row>
    <row r="245" spans="2:6">
      <c r="B245" s="193"/>
      <c r="C245" s="193"/>
      <c r="D245" s="194"/>
      <c r="E245" s="194"/>
      <c r="F245" s="196"/>
    </row>
    <row r="246" spans="2:6">
      <c r="B246" s="193"/>
      <c r="C246" s="193"/>
      <c r="D246" s="194"/>
      <c r="E246" s="194"/>
      <c r="F246" s="196"/>
    </row>
    <row r="247" spans="2:6">
      <c r="B247" s="193"/>
      <c r="C247" s="193"/>
      <c r="D247" s="194"/>
      <c r="E247" s="194"/>
      <c r="F247" s="196"/>
    </row>
    <row r="248" spans="2:6">
      <c r="B248" s="193"/>
      <c r="C248" s="193"/>
      <c r="D248" s="194"/>
      <c r="E248" s="194"/>
      <c r="F248" s="196"/>
    </row>
    <row r="249" spans="2:6">
      <c r="B249" s="193"/>
      <c r="C249" s="193"/>
      <c r="D249" s="194"/>
      <c r="E249" s="194"/>
      <c r="F249" s="196"/>
    </row>
    <row r="250" spans="2:6">
      <c r="B250" s="193"/>
      <c r="C250" s="193"/>
      <c r="D250" s="194"/>
      <c r="E250" s="194"/>
      <c r="F250" s="196"/>
    </row>
    <row r="251" spans="2:6">
      <c r="B251" s="193"/>
      <c r="C251" s="193"/>
      <c r="D251" s="194"/>
      <c r="E251" s="194"/>
      <c r="F251" s="196"/>
    </row>
    <row r="252" spans="2:6">
      <c r="B252" s="193"/>
      <c r="C252" s="193"/>
      <c r="D252" s="194"/>
      <c r="E252" s="194"/>
      <c r="F252" s="196"/>
    </row>
    <row r="253" spans="2:6">
      <c r="B253" s="193"/>
      <c r="C253" s="193"/>
      <c r="D253" s="194"/>
      <c r="E253" s="194"/>
      <c r="F253" s="196"/>
    </row>
    <row r="254" spans="2:6">
      <c r="B254" s="193"/>
      <c r="C254" s="193"/>
      <c r="D254" s="194"/>
      <c r="E254" s="194"/>
      <c r="F254" s="196"/>
    </row>
    <row r="255" spans="2:6">
      <c r="B255" s="193"/>
      <c r="C255" s="193"/>
      <c r="D255" s="194"/>
      <c r="E255" s="194"/>
      <c r="F255" s="196"/>
    </row>
    <row r="256" spans="2:6">
      <c r="B256" s="193"/>
      <c r="C256" s="193"/>
      <c r="D256" s="194"/>
      <c r="E256" s="194"/>
      <c r="F256" s="196"/>
    </row>
    <row r="257" spans="2:6">
      <c r="B257" s="193"/>
      <c r="C257" s="193"/>
      <c r="D257" s="194"/>
      <c r="E257" s="194"/>
      <c r="F257" s="196"/>
    </row>
    <row r="258" spans="2:6">
      <c r="B258" s="193"/>
      <c r="C258" s="193"/>
      <c r="D258" s="194"/>
      <c r="E258" s="194"/>
      <c r="F258" s="196"/>
    </row>
    <row r="259" spans="2:6">
      <c r="B259" s="193"/>
      <c r="C259" s="193"/>
      <c r="D259" s="194"/>
      <c r="E259" s="194"/>
      <c r="F259" s="196"/>
    </row>
    <row r="260" spans="2:6">
      <c r="B260" s="193"/>
      <c r="C260" s="193"/>
      <c r="D260" s="194"/>
      <c r="E260" s="194"/>
      <c r="F260" s="196"/>
    </row>
    <row r="261" spans="2:6">
      <c r="B261" s="193"/>
      <c r="C261" s="193"/>
      <c r="D261" s="194"/>
      <c r="E261" s="194"/>
      <c r="F261" s="196"/>
    </row>
    <row r="262" spans="2:6">
      <c r="B262" s="193"/>
      <c r="C262" s="193"/>
      <c r="D262" s="194"/>
      <c r="E262" s="194"/>
      <c r="F262" s="196"/>
    </row>
    <row r="263" spans="2:6">
      <c r="B263" s="193"/>
      <c r="C263" s="193"/>
      <c r="D263" s="194"/>
      <c r="E263" s="194"/>
      <c r="F263" s="196"/>
    </row>
    <row r="264" spans="2:6">
      <c r="B264" s="193"/>
      <c r="C264" s="193"/>
      <c r="D264" s="194"/>
      <c r="E264" s="194"/>
      <c r="F264" s="196"/>
    </row>
    <row r="265" spans="2:6">
      <c r="B265" s="193"/>
      <c r="C265" s="193"/>
      <c r="D265" s="194"/>
      <c r="E265" s="194"/>
      <c r="F265" s="196"/>
    </row>
    <row r="266" spans="2:6">
      <c r="B266" s="193"/>
      <c r="C266" s="193"/>
      <c r="D266" s="194"/>
      <c r="E266" s="194"/>
      <c r="F266" s="196"/>
    </row>
    <row r="267" spans="2:6">
      <c r="B267" s="193"/>
      <c r="C267" s="193"/>
      <c r="D267" s="194"/>
      <c r="E267" s="194"/>
      <c r="F267" s="196"/>
    </row>
    <row r="268" spans="2:6">
      <c r="B268" s="193"/>
      <c r="C268" s="193"/>
      <c r="D268" s="194"/>
      <c r="E268" s="194"/>
      <c r="F268" s="196"/>
    </row>
    <row r="269" spans="2:6">
      <c r="B269" s="193"/>
      <c r="C269" s="193"/>
      <c r="D269" s="194"/>
      <c r="E269" s="194"/>
      <c r="F269" s="196"/>
    </row>
    <row r="270" spans="2:6">
      <c r="B270" s="193"/>
      <c r="C270" s="193"/>
      <c r="D270" s="194"/>
      <c r="E270" s="194"/>
      <c r="F270" s="196"/>
    </row>
    <row r="271" spans="2:6">
      <c r="B271" s="193"/>
      <c r="C271" s="193"/>
      <c r="D271" s="194"/>
      <c r="E271" s="194"/>
      <c r="F271" s="196"/>
    </row>
    <row r="272" spans="2:6">
      <c r="B272" s="193"/>
      <c r="C272" s="193"/>
      <c r="D272" s="194"/>
      <c r="E272" s="194"/>
      <c r="F272" s="196"/>
    </row>
    <row r="273" spans="2:6">
      <c r="B273" s="193"/>
      <c r="C273" s="193"/>
      <c r="D273" s="194"/>
      <c r="E273" s="194"/>
      <c r="F273" s="196"/>
    </row>
    <row r="274" spans="2:6">
      <c r="B274" s="193"/>
      <c r="C274" s="193"/>
      <c r="D274" s="194"/>
      <c r="E274" s="194"/>
      <c r="F274" s="196"/>
    </row>
    <row r="275" spans="2:6">
      <c r="B275" s="193"/>
      <c r="C275" s="193"/>
      <c r="D275" s="194"/>
      <c r="E275" s="194"/>
      <c r="F275" s="196"/>
    </row>
    <row r="276" spans="2:6">
      <c r="B276" s="193"/>
      <c r="C276" s="193"/>
      <c r="D276" s="194"/>
      <c r="E276" s="194"/>
      <c r="F276" s="196"/>
    </row>
    <row r="277" spans="2:6">
      <c r="B277" s="193"/>
      <c r="C277" s="193"/>
      <c r="D277" s="194"/>
      <c r="E277" s="194"/>
      <c r="F277" s="196"/>
    </row>
    <row r="278" spans="2:6">
      <c r="B278" s="193"/>
      <c r="C278" s="193"/>
      <c r="D278" s="194"/>
      <c r="E278" s="194"/>
      <c r="F278" s="196"/>
    </row>
    <row r="279" spans="2:6">
      <c r="B279" s="193"/>
      <c r="C279" s="193"/>
      <c r="D279" s="194"/>
      <c r="E279" s="194"/>
      <c r="F279" s="196"/>
    </row>
    <row r="280" spans="2:6">
      <c r="B280" s="193"/>
      <c r="C280" s="193"/>
      <c r="D280" s="194"/>
      <c r="E280" s="194"/>
      <c r="F280" s="196"/>
    </row>
    <row r="281" spans="2:6">
      <c r="B281" s="193"/>
      <c r="C281" s="193"/>
      <c r="D281" s="194"/>
      <c r="E281" s="194"/>
      <c r="F281" s="196"/>
    </row>
    <row r="282" spans="2:6">
      <c r="B282" s="193"/>
      <c r="C282" s="193"/>
      <c r="D282" s="194"/>
      <c r="E282" s="194"/>
      <c r="F282" s="196"/>
    </row>
    <row r="283" spans="2:6">
      <c r="B283" s="193"/>
      <c r="C283" s="193"/>
      <c r="D283" s="194"/>
      <c r="E283" s="194"/>
      <c r="F283" s="196"/>
    </row>
    <row r="284" spans="2:6">
      <c r="B284" s="193"/>
      <c r="C284" s="193"/>
      <c r="D284" s="194"/>
      <c r="E284" s="194"/>
      <c r="F284" s="196"/>
    </row>
    <row r="285" spans="2:6">
      <c r="B285" s="193"/>
      <c r="C285" s="193"/>
      <c r="D285" s="194"/>
      <c r="E285" s="194"/>
      <c r="F285" s="196"/>
    </row>
    <row r="286" spans="2:6">
      <c r="B286" s="193"/>
      <c r="C286" s="193"/>
      <c r="D286" s="194"/>
      <c r="E286" s="194"/>
      <c r="F286" s="196"/>
    </row>
    <row r="287" spans="2:6">
      <c r="B287" s="193"/>
      <c r="C287" s="193"/>
      <c r="D287" s="194"/>
      <c r="E287" s="194"/>
      <c r="F287" s="196"/>
    </row>
    <row r="288" spans="2:6">
      <c r="B288" s="193"/>
      <c r="C288" s="193"/>
      <c r="D288" s="194"/>
      <c r="E288" s="194"/>
      <c r="F288" s="196"/>
    </row>
    <row r="289" spans="2:6">
      <c r="B289" s="193"/>
      <c r="C289" s="193"/>
      <c r="D289" s="194"/>
      <c r="E289" s="194"/>
      <c r="F289" s="196"/>
    </row>
    <row r="290" spans="2:6">
      <c r="B290" s="193"/>
      <c r="C290" s="193"/>
      <c r="D290" s="194"/>
      <c r="E290" s="194"/>
      <c r="F290" s="196"/>
    </row>
    <row r="291" spans="2:6">
      <c r="B291" s="193"/>
      <c r="C291" s="193"/>
      <c r="D291" s="194"/>
      <c r="E291" s="194"/>
      <c r="F291" s="196"/>
    </row>
    <row r="292" spans="2:6">
      <c r="B292" s="193"/>
      <c r="C292" s="193"/>
      <c r="D292" s="194"/>
      <c r="E292" s="194"/>
      <c r="F292" s="196"/>
    </row>
    <row r="293" spans="2:6">
      <c r="B293" s="193"/>
      <c r="C293" s="193"/>
      <c r="D293" s="194"/>
      <c r="E293" s="194"/>
      <c r="F293" s="196"/>
    </row>
    <row r="294" spans="2:6">
      <c r="B294" s="193"/>
      <c r="C294" s="193"/>
      <c r="D294" s="194"/>
      <c r="E294" s="194"/>
      <c r="F294" s="196"/>
    </row>
    <row r="295" spans="2:6">
      <c r="B295" s="193"/>
      <c r="C295" s="193"/>
      <c r="D295" s="194"/>
      <c r="E295" s="194"/>
      <c r="F295" s="196"/>
    </row>
    <row r="296" spans="2:6">
      <c r="B296" s="193"/>
      <c r="C296" s="193"/>
      <c r="D296" s="194"/>
      <c r="E296" s="194"/>
      <c r="F296" s="196"/>
    </row>
    <row r="297" spans="2:6">
      <c r="B297" s="193"/>
      <c r="C297" s="193"/>
      <c r="D297" s="194"/>
      <c r="E297" s="194"/>
      <c r="F297" s="196"/>
    </row>
    <row r="298" spans="2:6">
      <c r="B298" s="193"/>
      <c r="C298" s="193"/>
      <c r="D298" s="194"/>
      <c r="E298" s="194"/>
      <c r="F298" s="196"/>
    </row>
    <row r="299" spans="2:6">
      <c r="B299" s="193"/>
      <c r="C299" s="193"/>
      <c r="D299" s="194"/>
      <c r="E299" s="194"/>
      <c r="F299" s="196"/>
    </row>
    <row r="300" spans="2:6">
      <c r="B300" s="193"/>
      <c r="C300" s="193"/>
      <c r="D300" s="194"/>
      <c r="E300" s="194"/>
      <c r="F300" s="196"/>
    </row>
    <row r="301" spans="2:6">
      <c r="B301" s="193"/>
      <c r="C301" s="193"/>
      <c r="D301" s="194"/>
      <c r="E301" s="194"/>
      <c r="F301" s="196"/>
    </row>
    <row r="302" spans="2:6">
      <c r="B302" s="193"/>
      <c r="C302" s="193"/>
      <c r="D302" s="194"/>
      <c r="E302" s="194"/>
      <c r="F302" s="196"/>
    </row>
    <row r="303" spans="2:6">
      <c r="B303" s="193"/>
      <c r="C303" s="193"/>
      <c r="D303" s="194"/>
      <c r="E303" s="194"/>
      <c r="F303" s="196"/>
    </row>
    <row r="304" spans="2:6">
      <c r="B304" s="193"/>
      <c r="C304" s="193"/>
      <c r="D304" s="194"/>
      <c r="E304" s="194"/>
      <c r="F304" s="196"/>
    </row>
    <row r="305" spans="2:6">
      <c r="B305" s="193"/>
      <c r="C305" s="193"/>
      <c r="D305" s="194"/>
      <c r="E305" s="194"/>
      <c r="F305" s="196"/>
    </row>
    <row r="306" spans="2:6">
      <c r="B306" s="193"/>
      <c r="C306" s="193"/>
      <c r="D306" s="194"/>
      <c r="E306" s="194"/>
      <c r="F306" s="196"/>
    </row>
    <row r="307" spans="2:6">
      <c r="B307" s="193"/>
      <c r="C307" s="193"/>
      <c r="D307" s="194"/>
      <c r="E307" s="194"/>
      <c r="F307" s="196"/>
    </row>
    <row r="308" spans="2:6">
      <c r="B308" s="193"/>
      <c r="C308" s="193"/>
      <c r="D308" s="194"/>
      <c r="E308" s="194"/>
      <c r="F308" s="196"/>
    </row>
    <row r="309" spans="2:6">
      <c r="B309" s="193"/>
      <c r="C309" s="193"/>
      <c r="D309" s="194"/>
      <c r="E309" s="194"/>
      <c r="F309" s="196"/>
    </row>
    <row r="310" spans="2:6">
      <c r="B310" s="193"/>
      <c r="C310" s="193"/>
      <c r="D310" s="194"/>
      <c r="E310" s="194"/>
      <c r="F310" s="196"/>
    </row>
    <row r="311" spans="2:6">
      <c r="B311" s="193"/>
      <c r="C311" s="193"/>
      <c r="D311" s="194"/>
      <c r="E311" s="194"/>
      <c r="F311" s="196"/>
    </row>
    <row r="312" spans="2:6">
      <c r="B312" s="193"/>
      <c r="C312" s="193"/>
      <c r="D312" s="194"/>
      <c r="E312" s="194"/>
      <c r="F312" s="196"/>
    </row>
    <row r="313" spans="2:6">
      <c r="B313" s="193"/>
      <c r="C313" s="193"/>
      <c r="D313" s="194"/>
      <c r="E313" s="194"/>
      <c r="F313" s="196"/>
    </row>
    <row r="314" spans="2:6">
      <c r="B314" s="193"/>
      <c r="C314" s="193"/>
      <c r="D314" s="194"/>
      <c r="E314" s="194"/>
      <c r="F314" s="196"/>
    </row>
    <row r="315" spans="2:6">
      <c r="B315" s="193"/>
      <c r="C315" s="193"/>
      <c r="D315" s="194"/>
      <c r="E315" s="194"/>
      <c r="F315" s="196"/>
    </row>
    <row r="316" spans="2:6">
      <c r="B316" s="193"/>
      <c r="C316" s="193"/>
      <c r="D316" s="194"/>
      <c r="E316" s="194"/>
      <c r="F316" s="196"/>
    </row>
    <row r="317" spans="2:6">
      <c r="B317" s="193"/>
      <c r="C317" s="193"/>
      <c r="D317" s="194"/>
      <c r="E317" s="194"/>
      <c r="F317" s="196"/>
    </row>
    <row r="318" spans="2:6">
      <c r="B318" s="193"/>
      <c r="C318" s="193"/>
      <c r="D318" s="194"/>
      <c r="E318" s="194"/>
      <c r="F318" s="196"/>
    </row>
    <row r="319" spans="2:6">
      <c r="B319" s="193"/>
      <c r="C319" s="193"/>
      <c r="D319" s="194"/>
      <c r="E319" s="194"/>
      <c r="F319" s="196"/>
    </row>
    <row r="320" spans="2:6">
      <c r="B320" s="193"/>
      <c r="C320" s="193"/>
      <c r="D320" s="194"/>
      <c r="E320" s="194"/>
      <c r="F320" s="196"/>
    </row>
    <row r="321" spans="2:6">
      <c r="B321" s="193"/>
      <c r="C321" s="193"/>
      <c r="D321" s="194"/>
      <c r="E321" s="194"/>
      <c r="F321" s="196"/>
    </row>
    <row r="322" spans="2:6">
      <c r="B322" s="193"/>
      <c r="C322" s="193"/>
      <c r="D322" s="194"/>
      <c r="E322" s="194"/>
      <c r="F322" s="196"/>
    </row>
    <row r="323" spans="2:6">
      <c r="B323" s="193"/>
      <c r="C323" s="193"/>
      <c r="D323" s="194"/>
      <c r="E323" s="194"/>
      <c r="F323" s="196"/>
    </row>
    <row r="324" spans="2:6">
      <c r="B324" s="193"/>
      <c r="C324" s="193"/>
      <c r="D324" s="194"/>
      <c r="E324" s="194"/>
      <c r="F324" s="196"/>
    </row>
    <row r="325" spans="2:6">
      <c r="B325" s="193"/>
      <c r="C325" s="193"/>
      <c r="D325" s="194"/>
      <c r="E325" s="194"/>
      <c r="F325" s="196"/>
    </row>
    <row r="326" spans="2:6">
      <c r="B326" s="193"/>
      <c r="C326" s="193"/>
      <c r="D326" s="194"/>
      <c r="E326" s="194"/>
      <c r="F326" s="196"/>
    </row>
    <row r="327" spans="2:6">
      <c r="B327" s="193"/>
      <c r="C327" s="193"/>
      <c r="D327" s="194"/>
      <c r="E327" s="194"/>
      <c r="F327" s="196"/>
    </row>
    <row r="328" spans="2:6">
      <c r="B328" s="193"/>
      <c r="C328" s="193"/>
      <c r="D328" s="194"/>
      <c r="E328" s="194"/>
      <c r="F328" s="196"/>
    </row>
    <row r="329" spans="2:6">
      <c r="B329" s="193"/>
      <c r="C329" s="193"/>
      <c r="D329" s="194"/>
      <c r="E329" s="194"/>
      <c r="F329" s="196"/>
    </row>
    <row r="330" spans="2:6">
      <c r="B330" s="193"/>
      <c r="C330" s="193"/>
      <c r="D330" s="194"/>
      <c r="E330" s="194"/>
      <c r="F330" s="196"/>
    </row>
    <row r="331" spans="2:6">
      <c r="B331" s="193"/>
      <c r="C331" s="193"/>
      <c r="D331" s="194"/>
      <c r="E331" s="194"/>
      <c r="F331" s="196"/>
    </row>
    <row r="332" spans="2:6">
      <c r="B332" s="193"/>
      <c r="C332" s="193"/>
      <c r="D332" s="194"/>
      <c r="E332" s="194"/>
      <c r="F332" s="196"/>
    </row>
    <row r="333" spans="2:6">
      <c r="B333" s="193"/>
      <c r="C333" s="193"/>
      <c r="D333" s="194"/>
      <c r="E333" s="194"/>
      <c r="F333" s="196"/>
    </row>
    <row r="334" spans="2:6">
      <c r="B334" s="193"/>
      <c r="C334" s="193"/>
      <c r="D334" s="194"/>
      <c r="E334" s="194"/>
      <c r="F334" s="196"/>
    </row>
    <row r="335" spans="2:6">
      <c r="B335" s="193"/>
      <c r="C335" s="193"/>
      <c r="D335" s="194"/>
      <c r="E335" s="194"/>
      <c r="F335" s="196"/>
    </row>
    <row r="336" spans="2:6">
      <c r="B336" s="193"/>
      <c r="C336" s="193"/>
      <c r="D336" s="194"/>
      <c r="E336" s="194"/>
      <c r="F336" s="196"/>
    </row>
    <row r="337" spans="2:6">
      <c r="B337" s="193"/>
      <c r="C337" s="193"/>
      <c r="D337" s="194"/>
      <c r="E337" s="194"/>
      <c r="F337" s="196"/>
    </row>
    <row r="338" spans="2:6">
      <c r="B338" s="193"/>
      <c r="C338" s="193"/>
      <c r="D338" s="194"/>
      <c r="E338" s="194"/>
      <c r="F338" s="196"/>
    </row>
    <row r="339" spans="2:6">
      <c r="B339" s="193"/>
      <c r="C339" s="193"/>
      <c r="D339" s="194"/>
      <c r="E339" s="194"/>
      <c r="F339" s="196"/>
    </row>
    <row r="340" spans="2:6">
      <c r="B340" s="193"/>
      <c r="C340" s="193"/>
      <c r="D340" s="194"/>
      <c r="E340" s="194"/>
      <c r="F340" s="196"/>
    </row>
    <row r="341" spans="2:6">
      <c r="B341" s="193"/>
      <c r="C341" s="193"/>
      <c r="D341" s="194"/>
      <c r="E341" s="194"/>
      <c r="F341" s="196"/>
    </row>
    <row r="342" spans="2:6">
      <c r="B342" s="193"/>
      <c r="C342" s="193"/>
      <c r="D342" s="194"/>
      <c r="E342" s="194"/>
      <c r="F342" s="196"/>
    </row>
    <row r="343" spans="2:6">
      <c r="B343" s="193"/>
      <c r="C343" s="193"/>
      <c r="D343" s="194"/>
      <c r="E343" s="194"/>
      <c r="F343" s="196"/>
    </row>
    <row r="344" spans="2:6">
      <c r="B344" s="193"/>
      <c r="C344" s="193"/>
      <c r="D344" s="194"/>
      <c r="E344" s="194"/>
      <c r="F344" s="196"/>
    </row>
    <row r="345" spans="2:6">
      <c r="B345" s="193"/>
      <c r="C345" s="193"/>
      <c r="D345" s="194"/>
      <c r="E345" s="194"/>
      <c r="F345" s="196"/>
    </row>
    <row r="346" spans="2:6">
      <c r="B346" s="193"/>
      <c r="C346" s="193"/>
      <c r="D346" s="194"/>
      <c r="E346" s="194"/>
      <c r="F346" s="196"/>
    </row>
    <row r="347" spans="2:6">
      <c r="B347" s="193"/>
      <c r="C347" s="193"/>
      <c r="D347" s="194"/>
      <c r="E347" s="194"/>
      <c r="F347" s="196"/>
    </row>
    <row r="348" spans="2:6">
      <c r="B348" s="193"/>
      <c r="C348" s="193"/>
      <c r="D348" s="194"/>
      <c r="E348" s="194"/>
      <c r="F348" s="196"/>
    </row>
    <row r="349" spans="2:6">
      <c r="B349" s="193"/>
      <c r="C349" s="193"/>
      <c r="D349" s="194"/>
      <c r="E349" s="194"/>
      <c r="F349" s="196"/>
    </row>
    <row r="350" spans="2:6">
      <c r="B350" s="193"/>
      <c r="C350" s="193"/>
      <c r="D350" s="194"/>
      <c r="E350" s="194"/>
      <c r="F350" s="196"/>
    </row>
    <row r="351" spans="2:6">
      <c r="B351" s="193"/>
      <c r="C351" s="193"/>
      <c r="D351" s="194"/>
      <c r="E351" s="194"/>
      <c r="F351" s="196"/>
    </row>
    <row r="352" spans="2:6">
      <c r="B352" s="193"/>
      <c r="C352" s="193"/>
      <c r="D352" s="194"/>
      <c r="E352" s="194"/>
      <c r="F352" s="196"/>
    </row>
    <row r="353" spans="2:6">
      <c r="B353" s="193"/>
      <c r="C353" s="193"/>
      <c r="D353" s="194"/>
      <c r="E353" s="194"/>
      <c r="F353" s="196"/>
    </row>
    <row r="354" spans="2:6">
      <c r="B354" s="193"/>
      <c r="C354" s="193"/>
      <c r="D354" s="194"/>
      <c r="E354" s="194"/>
      <c r="F354" s="196"/>
    </row>
    <row r="355" spans="2:6">
      <c r="B355" s="193"/>
      <c r="C355" s="193"/>
      <c r="D355" s="194"/>
      <c r="E355" s="194"/>
      <c r="F355" s="196"/>
    </row>
    <row r="356" spans="2:6">
      <c r="B356" s="193"/>
      <c r="C356" s="193"/>
      <c r="D356" s="194"/>
      <c r="E356" s="194"/>
      <c r="F356" s="196"/>
    </row>
    <row r="357" spans="2:6">
      <c r="B357" s="193"/>
      <c r="C357" s="193"/>
      <c r="D357" s="194"/>
      <c r="E357" s="194"/>
      <c r="F357" s="196"/>
    </row>
    <row r="358" spans="2:6">
      <c r="B358" s="193"/>
      <c r="C358" s="193"/>
      <c r="D358" s="194"/>
      <c r="E358" s="194"/>
      <c r="F358" s="196"/>
    </row>
    <row r="359" spans="2:6">
      <c r="B359" s="193"/>
      <c r="C359" s="193"/>
      <c r="D359" s="194"/>
      <c r="E359" s="194"/>
      <c r="F359" s="196"/>
    </row>
    <row r="360" spans="2:6">
      <c r="B360" s="193"/>
      <c r="C360" s="193"/>
      <c r="D360" s="194"/>
      <c r="E360" s="194"/>
      <c r="F360" s="196"/>
    </row>
    <row r="361" spans="2:6">
      <c r="B361" s="193"/>
      <c r="C361" s="193"/>
      <c r="D361" s="194"/>
      <c r="E361" s="194"/>
      <c r="F361" s="196"/>
    </row>
    <row r="362" spans="2:6">
      <c r="B362" s="193"/>
      <c r="C362" s="193"/>
      <c r="D362" s="194"/>
      <c r="E362" s="194"/>
      <c r="F362" s="196"/>
    </row>
    <row r="363" spans="2:6">
      <c r="B363" s="193"/>
      <c r="C363" s="193"/>
      <c r="D363" s="194"/>
      <c r="E363" s="194"/>
      <c r="F363" s="196"/>
    </row>
    <row r="364" spans="2:6">
      <c r="B364" s="193"/>
      <c r="C364" s="193"/>
      <c r="D364" s="194"/>
      <c r="E364" s="194"/>
      <c r="F364" s="196"/>
    </row>
    <row r="365" spans="2:6">
      <c r="B365" s="193"/>
      <c r="C365" s="193"/>
      <c r="D365" s="194"/>
      <c r="E365" s="194"/>
      <c r="F365" s="196"/>
    </row>
    <row r="366" spans="2:6">
      <c r="B366" s="193"/>
      <c r="C366" s="193"/>
      <c r="D366" s="194"/>
      <c r="E366" s="194"/>
      <c r="F366" s="196"/>
    </row>
    <row r="367" spans="2:6">
      <c r="B367" s="193"/>
      <c r="C367" s="193"/>
      <c r="D367" s="194"/>
      <c r="E367" s="194"/>
      <c r="F367" s="196"/>
    </row>
    <row r="368" spans="2:6">
      <c r="B368" s="193"/>
      <c r="C368" s="193"/>
      <c r="D368" s="194"/>
      <c r="E368" s="194"/>
      <c r="F368" s="196"/>
    </row>
    <row r="369" spans="2:6">
      <c r="B369" s="193"/>
      <c r="C369" s="193"/>
      <c r="D369" s="194"/>
      <c r="E369" s="194"/>
      <c r="F369" s="196"/>
    </row>
    <row r="370" spans="2:6">
      <c r="B370" s="193"/>
      <c r="C370" s="193"/>
      <c r="D370" s="194"/>
      <c r="E370" s="194"/>
      <c r="F370" s="196"/>
    </row>
    <row r="371" spans="2:6">
      <c r="B371" s="193"/>
      <c r="C371" s="193"/>
      <c r="D371" s="194"/>
      <c r="E371" s="194"/>
      <c r="F371" s="196"/>
    </row>
    <row r="372" spans="2:6">
      <c r="B372" s="193"/>
      <c r="C372" s="193"/>
      <c r="D372" s="194"/>
      <c r="E372" s="194"/>
      <c r="F372" s="196"/>
    </row>
    <row r="373" spans="2:6">
      <c r="B373" s="193"/>
      <c r="C373" s="193"/>
      <c r="D373" s="194"/>
      <c r="E373" s="194"/>
      <c r="F373" s="196"/>
    </row>
    <row r="374" spans="2:6">
      <c r="B374" s="193"/>
      <c r="C374" s="193"/>
      <c r="D374" s="194"/>
      <c r="E374" s="194"/>
      <c r="F374" s="196"/>
    </row>
    <row r="375" spans="2:6">
      <c r="B375" s="193"/>
      <c r="C375" s="193"/>
      <c r="D375" s="194"/>
      <c r="E375" s="194"/>
      <c r="F375" s="196"/>
    </row>
    <row r="376" spans="2:6">
      <c r="B376" s="193"/>
      <c r="C376" s="193"/>
      <c r="D376" s="194"/>
      <c r="E376" s="194"/>
      <c r="F376" s="196"/>
    </row>
    <row r="377" spans="2:6">
      <c r="B377" s="193"/>
      <c r="C377" s="193"/>
      <c r="D377" s="194"/>
      <c r="E377" s="194"/>
      <c r="F377" s="196"/>
    </row>
    <row r="378" spans="2:6">
      <c r="B378" s="193"/>
      <c r="C378" s="193"/>
      <c r="D378" s="194"/>
      <c r="E378" s="194"/>
      <c r="F378" s="196"/>
    </row>
    <row r="379" spans="2:6">
      <c r="B379" s="193"/>
      <c r="C379" s="193"/>
      <c r="D379" s="194"/>
      <c r="E379" s="194"/>
      <c r="F379" s="196"/>
    </row>
    <row r="380" spans="2:6">
      <c r="B380" s="193"/>
      <c r="C380" s="193"/>
      <c r="D380" s="194"/>
      <c r="E380" s="194"/>
      <c r="F380" s="196"/>
    </row>
    <row r="381" spans="2:6">
      <c r="B381" s="193"/>
      <c r="C381" s="193"/>
      <c r="D381" s="194"/>
      <c r="E381" s="194"/>
      <c r="F381" s="196"/>
    </row>
    <row r="382" spans="2:6">
      <c r="B382" s="193"/>
      <c r="C382" s="193"/>
      <c r="D382" s="194"/>
      <c r="E382" s="194"/>
      <c r="F382" s="196"/>
    </row>
    <row r="383" spans="2:6">
      <c r="B383" s="193"/>
      <c r="C383" s="193"/>
      <c r="D383" s="194"/>
      <c r="E383" s="194"/>
      <c r="F383" s="196"/>
    </row>
    <row r="384" spans="2:6">
      <c r="B384" s="193"/>
      <c r="C384" s="193"/>
      <c r="D384" s="194"/>
      <c r="E384" s="194"/>
      <c r="F384" s="196"/>
    </row>
    <row r="385" spans="2:6">
      <c r="B385" s="193"/>
      <c r="C385" s="193"/>
      <c r="D385" s="194"/>
      <c r="E385" s="194"/>
      <c r="F385" s="196"/>
    </row>
    <row r="386" spans="2:6">
      <c r="B386" s="193"/>
      <c r="C386" s="193"/>
      <c r="D386" s="194"/>
      <c r="E386" s="194"/>
      <c r="F386" s="196"/>
    </row>
    <row r="387" spans="2:6">
      <c r="B387" s="193"/>
      <c r="C387" s="193"/>
      <c r="D387" s="194"/>
      <c r="E387" s="194"/>
      <c r="F387" s="196"/>
    </row>
    <row r="388" spans="2:6">
      <c r="B388" s="193"/>
      <c r="C388" s="193"/>
      <c r="D388" s="194"/>
      <c r="E388" s="194"/>
      <c r="F388" s="196"/>
    </row>
    <row r="389" spans="2:6">
      <c r="B389" s="193"/>
      <c r="C389" s="193"/>
      <c r="D389" s="194"/>
      <c r="E389" s="194"/>
      <c r="F389" s="196"/>
    </row>
    <row r="390" spans="2:6">
      <c r="B390" s="193"/>
      <c r="C390" s="193"/>
      <c r="D390" s="194"/>
      <c r="E390" s="194"/>
      <c r="F390" s="196"/>
    </row>
    <row r="391" spans="2:6">
      <c r="B391" s="193"/>
      <c r="C391" s="193"/>
      <c r="D391" s="194"/>
      <c r="E391" s="194"/>
      <c r="F391" s="196"/>
    </row>
    <row r="392" spans="2:6">
      <c r="B392" s="193"/>
      <c r="C392" s="193"/>
      <c r="D392" s="194"/>
      <c r="E392" s="194"/>
      <c r="F392" s="196"/>
    </row>
    <row r="393" spans="2:6">
      <c r="B393" s="193"/>
      <c r="C393" s="193"/>
      <c r="D393" s="194"/>
      <c r="E393" s="194"/>
      <c r="F393" s="196"/>
    </row>
    <row r="394" spans="2:6">
      <c r="B394" s="193"/>
      <c r="C394" s="193"/>
      <c r="D394" s="194"/>
      <c r="E394" s="194"/>
      <c r="F394" s="196"/>
    </row>
    <row r="395" spans="2:6">
      <c r="B395" s="193"/>
      <c r="C395" s="193"/>
      <c r="D395" s="194"/>
      <c r="E395" s="194"/>
      <c r="F395" s="196"/>
    </row>
    <row r="396" spans="2:6">
      <c r="B396" s="193"/>
      <c r="C396" s="193"/>
      <c r="D396" s="194"/>
      <c r="E396" s="194"/>
      <c r="F396" s="196"/>
    </row>
    <row r="397" spans="2:6">
      <c r="B397" s="193"/>
      <c r="C397" s="193"/>
      <c r="D397" s="194"/>
      <c r="E397" s="194"/>
      <c r="F397" s="196"/>
    </row>
    <row r="398" spans="2:6">
      <c r="B398" s="193"/>
      <c r="C398" s="193"/>
      <c r="D398" s="194"/>
      <c r="E398" s="194"/>
      <c r="F398" s="196"/>
    </row>
    <row r="399" spans="2:6">
      <c r="B399" s="193"/>
      <c r="C399" s="193"/>
      <c r="D399" s="194"/>
      <c r="E399" s="194"/>
      <c r="F399" s="196"/>
    </row>
    <row r="400" spans="2:6">
      <c r="B400" s="193"/>
      <c r="C400" s="193"/>
      <c r="D400" s="194"/>
      <c r="E400" s="194"/>
      <c r="F400" s="196"/>
    </row>
    <row r="401" spans="2:6">
      <c r="B401" s="193"/>
      <c r="C401" s="193"/>
      <c r="D401" s="194"/>
      <c r="E401" s="194"/>
      <c r="F401" s="196"/>
    </row>
    <row r="402" spans="2:6">
      <c r="B402" s="193"/>
      <c r="C402" s="193"/>
      <c r="D402" s="194"/>
      <c r="E402" s="194"/>
      <c r="F402" s="196"/>
    </row>
    <row r="403" spans="2:6">
      <c r="B403" s="193"/>
      <c r="C403" s="193"/>
      <c r="D403" s="194"/>
      <c r="E403" s="194"/>
      <c r="F403" s="196"/>
    </row>
    <row r="404" spans="2:6">
      <c r="B404" s="193"/>
      <c r="C404" s="193"/>
      <c r="D404" s="194"/>
      <c r="E404" s="194"/>
      <c r="F404" s="196"/>
    </row>
    <row r="405" spans="2:6">
      <c r="B405" s="193"/>
      <c r="C405" s="193"/>
      <c r="D405" s="194"/>
      <c r="E405" s="194"/>
      <c r="F405" s="196"/>
    </row>
    <row r="406" spans="2:6">
      <c r="B406" s="193"/>
      <c r="C406" s="193"/>
      <c r="D406" s="194"/>
      <c r="E406" s="194"/>
      <c r="F406" s="196"/>
    </row>
    <row r="407" spans="2:6">
      <c r="B407" s="193"/>
      <c r="C407" s="193"/>
      <c r="D407" s="194"/>
      <c r="E407" s="194"/>
      <c r="F407" s="196"/>
    </row>
    <row r="408" spans="2:6">
      <c r="B408" s="193"/>
      <c r="C408" s="193"/>
      <c r="D408" s="194"/>
      <c r="E408" s="194"/>
      <c r="F408" s="196"/>
    </row>
    <row r="409" spans="2:6">
      <c r="B409" s="193"/>
      <c r="C409" s="193"/>
      <c r="D409" s="194"/>
      <c r="E409" s="194"/>
      <c r="F409" s="196"/>
    </row>
    <row r="410" spans="2:6">
      <c r="B410" s="193"/>
      <c r="C410" s="193"/>
      <c r="D410" s="194"/>
      <c r="E410" s="194"/>
      <c r="F410" s="196"/>
    </row>
    <row r="411" spans="2:6">
      <c r="B411" s="193"/>
      <c r="C411" s="193"/>
      <c r="D411" s="194"/>
      <c r="E411" s="194"/>
      <c r="F411" s="196"/>
    </row>
    <row r="412" spans="2:6">
      <c r="B412" s="193"/>
      <c r="C412" s="193"/>
      <c r="D412" s="194"/>
      <c r="E412" s="194"/>
      <c r="F412" s="196"/>
    </row>
    <row r="413" spans="2:6">
      <c r="B413" s="193"/>
      <c r="C413" s="193"/>
      <c r="D413" s="194"/>
      <c r="E413" s="194"/>
      <c r="F413" s="196"/>
    </row>
    <row r="414" spans="2:6">
      <c r="B414" s="193"/>
      <c r="C414" s="193"/>
      <c r="D414" s="194"/>
      <c r="E414" s="194"/>
      <c r="F414" s="196"/>
    </row>
    <row r="415" spans="2:6">
      <c r="B415" s="193"/>
      <c r="C415" s="193"/>
      <c r="D415" s="194"/>
      <c r="E415" s="194"/>
      <c r="F415" s="196"/>
    </row>
    <row r="416" spans="2:6">
      <c r="B416" s="193"/>
      <c r="C416" s="193"/>
      <c r="D416" s="194"/>
      <c r="E416" s="194"/>
      <c r="F416" s="196"/>
    </row>
    <row r="417" spans="2:6">
      <c r="B417" s="193"/>
      <c r="C417" s="193"/>
      <c r="D417" s="194"/>
      <c r="E417" s="194"/>
      <c r="F417" s="196"/>
    </row>
    <row r="418" spans="2:6">
      <c r="B418" s="193"/>
      <c r="C418" s="193"/>
      <c r="D418" s="194"/>
      <c r="E418" s="194"/>
      <c r="F418" s="196"/>
    </row>
    <row r="419" spans="2:6">
      <c r="B419" s="193"/>
      <c r="C419" s="193"/>
      <c r="D419" s="194"/>
      <c r="E419" s="194"/>
      <c r="F419" s="196"/>
    </row>
    <row r="420" spans="2:6">
      <c r="B420" s="193"/>
      <c r="C420" s="193"/>
      <c r="D420" s="194"/>
      <c r="E420" s="194"/>
      <c r="F420" s="196"/>
    </row>
    <row r="421" spans="2:6">
      <c r="B421" s="193"/>
      <c r="C421" s="193"/>
      <c r="D421" s="194"/>
      <c r="E421" s="194"/>
      <c r="F421" s="196"/>
    </row>
    <row r="422" spans="2:6">
      <c r="B422" s="193"/>
      <c r="C422" s="193"/>
      <c r="D422" s="194"/>
      <c r="E422" s="194"/>
      <c r="F422" s="196"/>
    </row>
    <row r="423" spans="2:6">
      <c r="B423" s="193"/>
      <c r="C423" s="193"/>
      <c r="D423" s="194"/>
      <c r="E423" s="194"/>
      <c r="F423" s="196"/>
    </row>
    <row r="424" spans="2:6">
      <c r="B424" s="193"/>
      <c r="C424" s="193"/>
      <c r="D424" s="194"/>
      <c r="E424" s="194"/>
      <c r="F424" s="196"/>
    </row>
    <row r="425" spans="2:6">
      <c r="B425" s="193"/>
      <c r="C425" s="193"/>
      <c r="D425" s="194"/>
      <c r="E425" s="194"/>
      <c r="F425" s="196"/>
    </row>
    <row r="426" spans="2:6">
      <c r="B426" s="193"/>
      <c r="C426" s="193"/>
      <c r="D426" s="194"/>
      <c r="E426" s="194"/>
      <c r="F426" s="196"/>
    </row>
    <row r="427" spans="2:6">
      <c r="B427" s="193"/>
      <c r="C427" s="193"/>
      <c r="D427" s="194"/>
      <c r="E427" s="194"/>
      <c r="F427" s="196"/>
    </row>
    <row r="428" spans="2:6">
      <c r="B428" s="193"/>
      <c r="C428" s="193"/>
      <c r="D428" s="194"/>
      <c r="E428" s="194"/>
      <c r="F428" s="196"/>
    </row>
    <row r="429" spans="2:6">
      <c r="B429" s="193"/>
      <c r="C429" s="193"/>
      <c r="D429" s="194"/>
      <c r="E429" s="194"/>
      <c r="F429" s="196"/>
    </row>
    <row r="430" spans="2:6">
      <c r="B430" s="193"/>
      <c r="C430" s="193"/>
      <c r="D430" s="194"/>
      <c r="E430" s="194"/>
      <c r="F430" s="196"/>
    </row>
    <row r="431" spans="2:6">
      <c r="B431" s="193"/>
      <c r="C431" s="193"/>
      <c r="D431" s="194"/>
      <c r="E431" s="194"/>
      <c r="F431" s="196"/>
    </row>
    <row r="432" spans="2:6">
      <c r="B432" s="193"/>
      <c r="C432" s="193"/>
      <c r="D432" s="194"/>
      <c r="E432" s="194"/>
      <c r="F432" s="196"/>
    </row>
    <row r="433" spans="2:6">
      <c r="B433" s="193"/>
      <c r="C433" s="193"/>
      <c r="D433" s="194"/>
      <c r="E433" s="194"/>
      <c r="F433" s="196"/>
    </row>
    <row r="434" spans="2:6">
      <c r="B434" s="193"/>
      <c r="C434" s="193"/>
      <c r="D434" s="194"/>
      <c r="E434" s="194"/>
      <c r="F434" s="196"/>
    </row>
    <row r="435" spans="2:6">
      <c r="B435" s="193"/>
      <c r="C435" s="193"/>
      <c r="D435" s="194"/>
      <c r="E435" s="194"/>
      <c r="F435" s="196"/>
    </row>
    <row r="436" spans="2:6">
      <c r="B436" s="193"/>
      <c r="C436" s="193"/>
      <c r="D436" s="194"/>
      <c r="E436" s="194"/>
      <c r="F436" s="196"/>
    </row>
    <row r="437" spans="2:6">
      <c r="B437" s="193"/>
      <c r="C437" s="193"/>
      <c r="D437" s="194"/>
      <c r="E437" s="194"/>
      <c r="F437" s="196"/>
    </row>
    <row r="438" spans="2:6">
      <c r="B438" s="193"/>
      <c r="C438" s="193"/>
      <c r="D438" s="194"/>
      <c r="E438" s="194"/>
      <c r="F438" s="196"/>
    </row>
    <row r="439" spans="2:6">
      <c r="B439" s="193"/>
      <c r="C439" s="193"/>
      <c r="D439" s="194"/>
      <c r="E439" s="194"/>
      <c r="F439" s="196"/>
    </row>
    <row r="440" spans="2:6">
      <c r="B440" s="193"/>
      <c r="C440" s="193"/>
      <c r="D440" s="194"/>
      <c r="E440" s="194"/>
      <c r="F440" s="196"/>
    </row>
    <row r="441" spans="2:6">
      <c r="B441" s="193"/>
      <c r="C441" s="193"/>
      <c r="D441" s="194"/>
      <c r="E441" s="194"/>
      <c r="F441" s="196"/>
    </row>
    <row r="442" spans="2:6">
      <c r="B442" s="193"/>
      <c r="C442" s="193"/>
      <c r="D442" s="194"/>
      <c r="E442" s="194"/>
      <c r="F442" s="196"/>
    </row>
    <row r="443" spans="2:6">
      <c r="B443" s="193"/>
      <c r="C443" s="193"/>
      <c r="D443" s="194"/>
      <c r="E443" s="194"/>
      <c r="F443" s="196"/>
    </row>
    <row r="444" spans="2:6">
      <c r="B444" s="193"/>
      <c r="C444" s="193"/>
      <c r="D444" s="194"/>
      <c r="E444" s="194"/>
      <c r="F444" s="196"/>
    </row>
    <row r="445" spans="2:6">
      <c r="B445" s="193"/>
      <c r="C445" s="193"/>
      <c r="D445" s="194"/>
      <c r="E445" s="194"/>
      <c r="F445" s="196"/>
    </row>
    <row r="446" spans="2:6">
      <c r="B446" s="193"/>
      <c r="C446" s="193"/>
      <c r="D446" s="194"/>
      <c r="E446" s="194"/>
      <c r="F446" s="196"/>
    </row>
    <row r="447" spans="2:6">
      <c r="B447" s="193"/>
      <c r="C447" s="193"/>
      <c r="D447" s="194"/>
      <c r="E447" s="194"/>
      <c r="F447" s="196"/>
    </row>
    <row r="448" spans="2:6">
      <c r="B448" s="193"/>
      <c r="C448" s="193"/>
      <c r="D448" s="194"/>
      <c r="E448" s="194"/>
      <c r="F448" s="196"/>
    </row>
    <row r="449" spans="2:6">
      <c r="B449" s="193"/>
      <c r="C449" s="193"/>
      <c r="D449" s="194"/>
      <c r="E449" s="194"/>
      <c r="F449" s="196"/>
    </row>
    <row r="450" spans="2:6">
      <c r="B450" s="193"/>
      <c r="C450" s="193"/>
      <c r="D450" s="194"/>
      <c r="E450" s="194"/>
      <c r="F450" s="196"/>
    </row>
    <row r="451" spans="2:6">
      <c r="B451" s="193"/>
      <c r="C451" s="193"/>
      <c r="D451" s="194"/>
      <c r="E451" s="194"/>
      <c r="F451" s="196"/>
    </row>
    <row r="452" spans="2:6">
      <c r="B452" s="193"/>
      <c r="C452" s="193"/>
      <c r="D452" s="194"/>
      <c r="E452" s="194"/>
      <c r="F452" s="196"/>
    </row>
    <row r="453" spans="2:6">
      <c r="B453" s="193"/>
      <c r="C453" s="193"/>
      <c r="D453" s="194"/>
      <c r="E453" s="194"/>
      <c r="F453" s="196"/>
    </row>
    <row r="454" spans="2:6">
      <c r="B454" s="193"/>
      <c r="C454" s="193"/>
      <c r="D454" s="194"/>
      <c r="E454" s="194"/>
      <c r="F454" s="196"/>
    </row>
    <row r="455" spans="2:6">
      <c r="B455" s="193"/>
      <c r="C455" s="193"/>
      <c r="D455" s="194"/>
      <c r="E455" s="194"/>
      <c r="F455" s="196"/>
    </row>
    <row r="456" spans="2:6">
      <c r="B456" s="193"/>
      <c r="C456" s="193"/>
      <c r="D456" s="194"/>
      <c r="E456" s="194"/>
      <c r="F456" s="196"/>
    </row>
    <row r="457" spans="2:6">
      <c r="B457" s="193"/>
      <c r="C457" s="193"/>
      <c r="D457" s="194"/>
      <c r="E457" s="194"/>
      <c r="F457" s="196"/>
    </row>
    <row r="458" spans="2:6">
      <c r="B458" s="193"/>
      <c r="C458" s="193"/>
      <c r="D458" s="194"/>
      <c r="E458" s="194"/>
      <c r="F458" s="196"/>
    </row>
    <row r="459" spans="2:6">
      <c r="B459" s="193"/>
      <c r="C459" s="193"/>
      <c r="D459" s="194"/>
      <c r="E459" s="194"/>
      <c r="F459" s="196"/>
    </row>
    <row r="460" spans="2:6">
      <c r="B460" s="193"/>
      <c r="C460" s="193"/>
      <c r="D460" s="194"/>
      <c r="E460" s="194"/>
      <c r="F460" s="196"/>
    </row>
    <row r="461" spans="2:6">
      <c r="B461" s="193"/>
      <c r="C461" s="193"/>
      <c r="D461" s="194"/>
      <c r="E461" s="194"/>
      <c r="F461" s="196"/>
    </row>
    <row r="462" spans="2:6">
      <c r="B462" s="193"/>
      <c r="C462" s="193"/>
      <c r="D462" s="194"/>
      <c r="E462" s="194"/>
      <c r="F462" s="196"/>
    </row>
    <row r="463" spans="2:6">
      <c r="B463" s="193"/>
      <c r="C463" s="193"/>
      <c r="D463" s="194"/>
      <c r="E463" s="194"/>
      <c r="F463" s="196"/>
    </row>
    <row r="464" spans="2:6">
      <c r="B464" s="193"/>
      <c r="C464" s="193"/>
      <c r="D464" s="194"/>
      <c r="E464" s="194"/>
      <c r="F464" s="196"/>
    </row>
    <row r="465" spans="2:6">
      <c r="B465" s="193"/>
      <c r="C465" s="193"/>
      <c r="D465" s="194"/>
      <c r="E465" s="194"/>
      <c r="F465" s="196"/>
    </row>
    <row r="466" spans="2:6">
      <c r="B466" s="193"/>
      <c r="C466" s="193"/>
      <c r="D466" s="194"/>
      <c r="E466" s="194"/>
      <c r="F466" s="196"/>
    </row>
    <row r="467" spans="2:6">
      <c r="B467" s="193"/>
      <c r="C467" s="193"/>
      <c r="D467" s="194"/>
      <c r="E467" s="194"/>
      <c r="F467" s="196"/>
    </row>
    <row r="468" spans="2:6">
      <c r="B468" s="193"/>
      <c r="C468" s="193"/>
      <c r="D468" s="194"/>
      <c r="E468" s="194"/>
      <c r="F468" s="196"/>
    </row>
    <row r="469" spans="2:6">
      <c r="B469" s="193"/>
      <c r="C469" s="193"/>
      <c r="D469" s="194"/>
      <c r="E469" s="194"/>
      <c r="F469" s="196"/>
    </row>
    <row r="470" spans="2:6">
      <c r="B470" s="193"/>
      <c r="C470" s="193"/>
      <c r="D470" s="194"/>
      <c r="E470" s="194"/>
      <c r="F470" s="196"/>
    </row>
    <row r="471" spans="2:6">
      <c r="B471" s="193"/>
      <c r="C471" s="193"/>
      <c r="D471" s="194"/>
      <c r="E471" s="194"/>
      <c r="F471" s="196"/>
    </row>
    <row r="472" spans="2:6">
      <c r="B472" s="193"/>
      <c r="C472" s="193"/>
      <c r="D472" s="194"/>
      <c r="E472" s="194"/>
      <c r="F472" s="196"/>
    </row>
    <row r="473" spans="2:6">
      <c r="B473" s="193"/>
      <c r="C473" s="193"/>
      <c r="D473" s="194"/>
      <c r="E473" s="194"/>
      <c r="F473" s="196"/>
    </row>
    <row r="474" spans="2:6">
      <c r="B474" s="193"/>
      <c r="C474" s="193"/>
      <c r="D474" s="194"/>
      <c r="E474" s="194"/>
      <c r="F474" s="196"/>
    </row>
    <row r="475" spans="2:6">
      <c r="B475" s="193"/>
      <c r="C475" s="193"/>
      <c r="D475" s="194"/>
      <c r="E475" s="194"/>
      <c r="F475" s="196"/>
    </row>
    <row r="476" spans="2:6">
      <c r="B476" s="193"/>
      <c r="C476" s="193"/>
      <c r="D476" s="194"/>
      <c r="E476" s="194"/>
      <c r="F476" s="196"/>
    </row>
    <row r="477" spans="2:6">
      <c r="B477" s="193"/>
      <c r="C477" s="193"/>
      <c r="D477" s="194"/>
      <c r="E477" s="194"/>
      <c r="F477" s="196"/>
    </row>
    <row r="478" spans="2:6">
      <c r="B478" s="193"/>
      <c r="C478" s="193"/>
      <c r="D478" s="194"/>
      <c r="E478" s="194"/>
      <c r="F478" s="196"/>
    </row>
    <row r="479" spans="2:6">
      <c r="B479" s="193"/>
      <c r="C479" s="193"/>
      <c r="D479" s="194"/>
      <c r="E479" s="194"/>
      <c r="F479" s="196"/>
    </row>
    <row r="480" spans="2:6">
      <c r="B480" s="193"/>
      <c r="C480" s="193"/>
      <c r="D480" s="194"/>
      <c r="E480" s="194"/>
      <c r="F480" s="196"/>
    </row>
    <row r="481" spans="2:6">
      <c r="B481" s="193"/>
      <c r="C481" s="193"/>
      <c r="D481" s="194"/>
      <c r="E481" s="194"/>
      <c r="F481" s="196"/>
    </row>
    <row r="482" spans="2:6">
      <c r="B482" s="193"/>
      <c r="C482" s="193"/>
      <c r="D482" s="194"/>
      <c r="E482" s="194"/>
      <c r="F482" s="196"/>
    </row>
    <row r="483" spans="2:6">
      <c r="B483" s="193"/>
      <c r="C483" s="193"/>
      <c r="D483" s="194"/>
      <c r="E483" s="194"/>
      <c r="F483" s="196"/>
    </row>
    <row r="484" spans="2:6">
      <c r="B484" s="193"/>
      <c r="C484" s="193"/>
      <c r="D484" s="194"/>
      <c r="E484" s="194"/>
      <c r="F484" s="196"/>
    </row>
    <row r="485" spans="2:6">
      <c r="B485" s="193"/>
      <c r="C485" s="193"/>
      <c r="D485" s="194"/>
      <c r="E485" s="194"/>
      <c r="F485" s="196"/>
    </row>
    <row r="486" spans="2:6">
      <c r="B486" s="193"/>
      <c r="C486" s="193"/>
      <c r="D486" s="194"/>
      <c r="E486" s="194"/>
      <c r="F486" s="196"/>
    </row>
    <row r="487" spans="2:6">
      <c r="B487" s="193"/>
      <c r="C487" s="193"/>
      <c r="D487" s="194"/>
      <c r="E487" s="194"/>
      <c r="F487" s="196"/>
    </row>
    <row r="488" spans="2:6">
      <c r="B488" s="193"/>
      <c r="C488" s="193"/>
      <c r="D488" s="194"/>
      <c r="E488" s="194"/>
      <c r="F488" s="196"/>
    </row>
    <row r="489" spans="2:6">
      <c r="B489" s="193"/>
      <c r="C489" s="193"/>
      <c r="D489" s="194"/>
      <c r="E489" s="194"/>
      <c r="F489" s="196"/>
    </row>
    <row r="490" spans="2:6">
      <c r="B490" s="193"/>
      <c r="C490" s="193"/>
      <c r="D490" s="194"/>
      <c r="E490" s="194"/>
      <c r="F490" s="196"/>
    </row>
    <row r="491" spans="2:6">
      <c r="B491" s="193"/>
      <c r="C491" s="193"/>
      <c r="D491" s="194"/>
      <c r="E491" s="194"/>
      <c r="F491" s="196"/>
    </row>
    <row r="492" spans="2:6">
      <c r="B492" s="193"/>
      <c r="C492" s="193"/>
      <c r="D492" s="194"/>
      <c r="E492" s="194"/>
      <c r="F492" s="196"/>
    </row>
    <row r="493" spans="2:6">
      <c r="B493" s="193"/>
      <c r="C493" s="193"/>
      <c r="D493" s="194"/>
      <c r="E493" s="194"/>
      <c r="F493" s="196"/>
    </row>
    <row r="494" spans="2:6">
      <c r="B494" s="193"/>
      <c r="C494" s="193"/>
      <c r="D494" s="194"/>
      <c r="E494" s="194"/>
      <c r="F494" s="196"/>
    </row>
    <row r="495" spans="2:6">
      <c r="B495" s="193"/>
      <c r="C495" s="193"/>
      <c r="D495" s="194"/>
      <c r="E495" s="194"/>
      <c r="F495" s="196"/>
    </row>
    <row r="496" spans="2:6">
      <c r="B496" s="193"/>
      <c r="C496" s="193"/>
      <c r="D496" s="194"/>
      <c r="E496" s="194"/>
      <c r="F496" s="196"/>
    </row>
    <row r="497" spans="2:6">
      <c r="B497" s="193"/>
      <c r="C497" s="193"/>
      <c r="D497" s="194"/>
      <c r="E497" s="194"/>
      <c r="F497" s="196"/>
    </row>
    <row r="498" spans="2:6">
      <c r="B498" s="193"/>
      <c r="C498" s="193"/>
      <c r="D498" s="194"/>
      <c r="E498" s="194"/>
      <c r="F498" s="196"/>
    </row>
    <row r="499" spans="2:6">
      <c r="B499" s="193"/>
      <c r="C499" s="193"/>
      <c r="D499" s="194"/>
      <c r="E499" s="194"/>
      <c r="F499" s="196"/>
    </row>
    <row r="500" spans="2:6">
      <c r="B500" s="193"/>
      <c r="C500" s="193"/>
      <c r="D500" s="194"/>
      <c r="E500" s="194"/>
      <c r="F500" s="196"/>
    </row>
    <row r="501" spans="2:6">
      <c r="B501" s="193"/>
      <c r="C501" s="193"/>
      <c r="D501" s="194"/>
      <c r="E501" s="194"/>
      <c r="F501" s="196"/>
    </row>
    <row r="502" spans="2:6">
      <c r="B502" s="193"/>
      <c r="C502" s="193"/>
      <c r="D502" s="194"/>
      <c r="E502" s="194"/>
      <c r="F502" s="196"/>
    </row>
    <row r="503" spans="2:6">
      <c r="B503" s="193"/>
      <c r="C503" s="193"/>
      <c r="D503" s="194"/>
      <c r="E503" s="194"/>
      <c r="F503" s="196"/>
    </row>
    <row r="504" spans="2:6">
      <c r="B504" s="193"/>
      <c r="C504" s="193"/>
      <c r="D504" s="194"/>
      <c r="E504" s="194"/>
      <c r="F504" s="196"/>
    </row>
    <row r="505" spans="2:6">
      <c r="B505" s="193"/>
      <c r="C505" s="193"/>
      <c r="D505" s="194"/>
      <c r="E505" s="194"/>
      <c r="F505" s="196"/>
    </row>
    <row r="506" spans="2:6">
      <c r="B506" s="193"/>
      <c r="C506" s="193"/>
      <c r="D506" s="194"/>
      <c r="E506" s="194"/>
      <c r="F506" s="196"/>
    </row>
    <row r="507" spans="2:6">
      <c r="B507" s="193"/>
      <c r="C507" s="193"/>
      <c r="D507" s="194"/>
      <c r="E507" s="194"/>
      <c r="F507" s="196"/>
    </row>
    <row r="508" spans="2:6">
      <c r="B508" s="193"/>
      <c r="C508" s="193"/>
      <c r="D508" s="194"/>
      <c r="E508" s="194"/>
      <c r="F508" s="196"/>
    </row>
    <row r="509" spans="2:6">
      <c r="B509" s="193"/>
      <c r="C509" s="193"/>
      <c r="D509" s="194"/>
      <c r="E509" s="194"/>
      <c r="F509" s="196"/>
    </row>
    <row r="510" spans="2:6">
      <c r="B510" s="193"/>
      <c r="C510" s="193"/>
      <c r="D510" s="194"/>
      <c r="E510" s="194"/>
      <c r="F510" s="196"/>
    </row>
    <row r="511" spans="2:6">
      <c r="B511" s="193"/>
      <c r="C511" s="193"/>
      <c r="D511" s="194"/>
      <c r="E511" s="194"/>
      <c r="F511" s="196"/>
    </row>
    <row r="512" spans="2:6">
      <c r="B512" s="193"/>
      <c r="C512" s="193"/>
      <c r="D512" s="194"/>
      <c r="E512" s="194"/>
      <c r="F512" s="196"/>
    </row>
    <row r="513" spans="2:6">
      <c r="B513" s="193"/>
      <c r="C513" s="193"/>
      <c r="D513" s="194"/>
      <c r="E513" s="194"/>
      <c r="F513" s="196"/>
    </row>
    <row r="514" spans="2:6">
      <c r="B514" s="193"/>
      <c r="C514" s="193"/>
      <c r="D514" s="194"/>
      <c r="E514" s="194"/>
      <c r="F514" s="196"/>
    </row>
    <row r="515" spans="2:6">
      <c r="B515" s="193"/>
      <c r="C515" s="193"/>
      <c r="D515" s="194"/>
      <c r="E515" s="194"/>
      <c r="F515" s="196"/>
    </row>
    <row r="516" spans="2:6">
      <c r="B516" s="193"/>
      <c r="C516" s="193"/>
      <c r="D516" s="194"/>
      <c r="E516" s="194"/>
      <c r="F516" s="196"/>
    </row>
    <row r="517" spans="2:6">
      <c r="B517" s="193"/>
      <c r="C517" s="193"/>
      <c r="D517" s="194"/>
      <c r="E517" s="194"/>
      <c r="F517" s="196"/>
    </row>
    <row r="518" spans="2:6">
      <c r="B518" s="193"/>
      <c r="C518" s="193"/>
      <c r="D518" s="194"/>
      <c r="E518" s="194"/>
      <c r="F518" s="196"/>
    </row>
    <row r="519" spans="2:6">
      <c r="B519" s="193"/>
      <c r="C519" s="193"/>
      <c r="D519" s="194"/>
      <c r="E519" s="194"/>
      <c r="F519" s="196"/>
    </row>
    <row r="520" spans="2:6">
      <c r="B520" s="193"/>
      <c r="C520" s="193"/>
      <c r="D520" s="194"/>
      <c r="E520" s="194"/>
      <c r="F520" s="196"/>
    </row>
    <row r="521" spans="2:6">
      <c r="B521" s="193"/>
      <c r="C521" s="193"/>
      <c r="D521" s="194"/>
      <c r="E521" s="194"/>
      <c r="F521" s="196"/>
    </row>
    <row r="522" spans="2:6">
      <c r="B522" s="193"/>
      <c r="C522" s="193"/>
      <c r="D522" s="194"/>
      <c r="E522" s="194"/>
      <c r="F522" s="196"/>
    </row>
    <row r="523" spans="2:6">
      <c r="B523" s="193"/>
      <c r="C523" s="193"/>
      <c r="D523" s="194"/>
      <c r="E523" s="194"/>
      <c r="F523" s="196"/>
    </row>
    <row r="524" spans="2:6">
      <c r="B524" s="193"/>
      <c r="C524" s="193"/>
      <c r="D524" s="194"/>
      <c r="E524" s="194"/>
      <c r="F524" s="196"/>
    </row>
    <row r="525" spans="2:6">
      <c r="B525" s="193"/>
      <c r="C525" s="193"/>
      <c r="D525" s="194"/>
      <c r="E525" s="194"/>
      <c r="F525" s="196"/>
    </row>
    <row r="526" spans="2:6">
      <c r="B526" s="193"/>
      <c r="C526" s="193"/>
      <c r="D526" s="194"/>
      <c r="E526" s="194"/>
      <c r="F526" s="196"/>
    </row>
    <row r="527" spans="2:6">
      <c r="B527" s="193"/>
      <c r="C527" s="193"/>
      <c r="D527" s="194"/>
      <c r="E527" s="194"/>
      <c r="F527" s="196"/>
    </row>
    <row r="528" spans="2:6">
      <c r="B528" s="193"/>
      <c r="C528" s="193"/>
      <c r="D528" s="194"/>
      <c r="E528" s="194"/>
      <c r="F528" s="196"/>
    </row>
    <row r="529" spans="2:6">
      <c r="B529" s="193"/>
      <c r="C529" s="193"/>
      <c r="D529" s="194"/>
      <c r="E529" s="194"/>
      <c r="F529" s="196"/>
    </row>
    <row r="530" spans="2:6">
      <c r="B530" s="193"/>
      <c r="C530" s="193"/>
      <c r="D530" s="194"/>
      <c r="E530" s="194"/>
      <c r="F530" s="196"/>
    </row>
    <row r="531" spans="2:6">
      <c r="B531" s="193"/>
      <c r="C531" s="193"/>
      <c r="D531" s="194"/>
      <c r="E531" s="194"/>
      <c r="F531" s="196"/>
    </row>
    <row r="532" spans="2:6">
      <c r="B532" s="193"/>
      <c r="C532" s="193"/>
      <c r="D532" s="194"/>
      <c r="E532" s="194"/>
      <c r="F532" s="196"/>
    </row>
    <row r="533" spans="2:6">
      <c r="B533" s="193"/>
      <c r="C533" s="193"/>
      <c r="D533" s="194"/>
      <c r="E533" s="194"/>
      <c r="F533" s="196"/>
    </row>
    <row r="534" spans="2:6">
      <c r="B534" s="193"/>
      <c r="C534" s="193"/>
      <c r="D534" s="194"/>
      <c r="E534" s="194"/>
      <c r="F534" s="196"/>
    </row>
    <row r="535" spans="2:6">
      <c r="B535" s="193"/>
      <c r="C535" s="193"/>
      <c r="D535" s="194"/>
      <c r="E535" s="194"/>
      <c r="F535" s="196"/>
    </row>
    <row r="536" spans="2:6">
      <c r="B536" s="193"/>
      <c r="C536" s="193"/>
      <c r="D536" s="194"/>
      <c r="E536" s="194"/>
      <c r="F536" s="196"/>
    </row>
    <row r="537" spans="2:6">
      <c r="B537" s="193"/>
      <c r="C537" s="193"/>
      <c r="D537" s="194"/>
      <c r="E537" s="194"/>
      <c r="F537" s="196"/>
    </row>
    <row r="538" spans="2:6">
      <c r="B538" s="193"/>
      <c r="C538" s="193"/>
      <c r="D538" s="194"/>
      <c r="E538" s="194"/>
      <c r="F538" s="196"/>
    </row>
    <row r="539" spans="2:6">
      <c r="B539" s="193"/>
      <c r="C539" s="193"/>
      <c r="D539" s="194"/>
      <c r="E539" s="194"/>
      <c r="F539" s="196"/>
    </row>
    <row r="540" spans="2:6">
      <c r="B540" s="193"/>
      <c r="C540" s="193"/>
      <c r="D540" s="194"/>
      <c r="E540" s="194"/>
      <c r="F540" s="196"/>
    </row>
    <row r="541" spans="2:6">
      <c r="B541" s="193"/>
      <c r="C541" s="193"/>
      <c r="D541" s="194"/>
      <c r="E541" s="194"/>
      <c r="F541" s="196"/>
    </row>
    <row r="542" spans="2:6">
      <c r="B542" s="193"/>
      <c r="C542" s="193"/>
      <c r="D542" s="194"/>
      <c r="E542" s="194"/>
      <c r="F542" s="196"/>
    </row>
    <row r="543" spans="2:6">
      <c r="B543" s="193"/>
      <c r="C543" s="193"/>
      <c r="D543" s="194"/>
      <c r="E543" s="194"/>
      <c r="F543" s="196"/>
    </row>
    <row r="544" spans="2:6">
      <c r="B544" s="193"/>
      <c r="C544" s="193"/>
      <c r="D544" s="194"/>
      <c r="E544" s="194"/>
      <c r="F544" s="196"/>
    </row>
    <row r="545" spans="2:6">
      <c r="B545" s="193"/>
      <c r="C545" s="193"/>
      <c r="D545" s="194"/>
      <c r="E545" s="194"/>
      <c r="F545" s="196"/>
    </row>
    <row r="546" spans="2:6">
      <c r="B546" s="193"/>
      <c r="C546" s="193"/>
      <c r="D546" s="194"/>
      <c r="E546" s="194"/>
      <c r="F546" s="196"/>
    </row>
    <row r="547" spans="2:6">
      <c r="B547" s="193"/>
      <c r="C547" s="193"/>
      <c r="D547" s="194"/>
      <c r="E547" s="194"/>
      <c r="F547" s="196"/>
    </row>
    <row r="548" spans="2:6">
      <c r="B548" s="193"/>
      <c r="C548" s="193"/>
      <c r="D548" s="194"/>
      <c r="E548" s="194"/>
      <c r="F548" s="196"/>
    </row>
    <row r="549" spans="2:6">
      <c r="B549" s="193"/>
      <c r="C549" s="193"/>
      <c r="D549" s="194"/>
      <c r="E549" s="194"/>
      <c r="F549" s="196"/>
    </row>
    <row r="550" spans="2:6">
      <c r="B550" s="193"/>
      <c r="C550" s="193"/>
      <c r="D550" s="194"/>
      <c r="E550" s="194"/>
      <c r="F550" s="196"/>
    </row>
    <row r="551" spans="2:6">
      <c r="B551" s="193"/>
      <c r="C551" s="193"/>
      <c r="D551" s="194"/>
      <c r="E551" s="194"/>
      <c r="F551" s="196"/>
    </row>
    <row r="552" spans="2:6">
      <c r="B552" s="193"/>
      <c r="C552" s="193"/>
      <c r="D552" s="194"/>
      <c r="E552" s="194"/>
      <c r="F552" s="196"/>
    </row>
    <row r="553" spans="2:6">
      <c r="B553" s="193"/>
      <c r="C553" s="193"/>
      <c r="D553" s="194"/>
      <c r="E553" s="194"/>
      <c r="F553" s="196"/>
    </row>
    <row r="554" spans="2:6">
      <c r="B554" s="193"/>
      <c r="C554" s="193"/>
      <c r="D554" s="194"/>
      <c r="E554" s="194"/>
      <c r="F554" s="196"/>
    </row>
    <row r="555" spans="2:6">
      <c r="B555" s="193"/>
      <c r="C555" s="193"/>
      <c r="D555" s="194"/>
      <c r="E555" s="194"/>
      <c r="F555" s="196"/>
    </row>
    <row r="556" spans="2:6">
      <c r="B556" s="193"/>
      <c r="C556" s="193"/>
      <c r="D556" s="194"/>
      <c r="E556" s="194"/>
      <c r="F556" s="196"/>
    </row>
    <row r="557" spans="2:6">
      <c r="B557" s="193"/>
      <c r="C557" s="193"/>
      <c r="D557" s="194"/>
      <c r="E557" s="194"/>
      <c r="F557" s="196"/>
    </row>
    <row r="558" spans="2:6">
      <c r="B558" s="193"/>
      <c r="C558" s="193"/>
      <c r="D558" s="194"/>
      <c r="E558" s="194"/>
      <c r="F558" s="196"/>
    </row>
    <row r="559" spans="2:6">
      <c r="B559" s="193"/>
      <c r="C559" s="193"/>
      <c r="D559" s="194"/>
      <c r="E559" s="194"/>
      <c r="F559" s="196"/>
    </row>
    <row r="560" spans="2:6">
      <c r="B560" s="193"/>
      <c r="C560" s="193"/>
      <c r="D560" s="194"/>
      <c r="E560" s="194"/>
      <c r="F560" s="196"/>
    </row>
    <row r="561" spans="2:6">
      <c r="B561" s="193"/>
      <c r="C561" s="193"/>
      <c r="D561" s="194"/>
      <c r="E561" s="194"/>
      <c r="F561" s="196"/>
    </row>
    <row r="562" spans="2:6">
      <c r="B562" s="193"/>
      <c r="C562" s="193"/>
      <c r="D562" s="194"/>
      <c r="E562" s="194"/>
      <c r="F562" s="196"/>
    </row>
    <row r="563" spans="2:6">
      <c r="B563" s="193"/>
      <c r="C563" s="193"/>
      <c r="D563" s="194"/>
      <c r="E563" s="194"/>
      <c r="F563" s="196"/>
    </row>
    <row r="564" spans="2:6">
      <c r="B564" s="193"/>
      <c r="C564" s="193"/>
      <c r="D564" s="194"/>
      <c r="E564" s="194"/>
      <c r="F564" s="196"/>
    </row>
    <row r="565" spans="2:6">
      <c r="B565" s="193"/>
      <c r="C565" s="193"/>
      <c r="D565" s="194"/>
      <c r="E565" s="194"/>
      <c r="F565" s="196"/>
    </row>
    <row r="566" spans="2:6">
      <c r="B566" s="193"/>
      <c r="C566" s="193"/>
      <c r="D566" s="194"/>
      <c r="E566" s="194"/>
      <c r="F566" s="196"/>
    </row>
    <row r="567" spans="2:6">
      <c r="B567" s="193"/>
      <c r="C567" s="193"/>
      <c r="D567" s="194"/>
      <c r="E567" s="194"/>
      <c r="F567" s="196"/>
    </row>
    <row r="568" spans="2:6">
      <c r="B568" s="193"/>
      <c r="C568" s="193"/>
      <c r="D568" s="194"/>
      <c r="E568" s="194"/>
      <c r="F568" s="196"/>
    </row>
    <row r="569" spans="2:6">
      <c r="B569" s="193"/>
      <c r="C569" s="193"/>
      <c r="D569" s="194"/>
      <c r="E569" s="194"/>
      <c r="F569" s="196"/>
    </row>
    <row r="570" spans="2:6">
      <c r="B570" s="193"/>
      <c r="C570" s="193"/>
      <c r="D570" s="194"/>
      <c r="E570" s="194"/>
      <c r="F570" s="196"/>
    </row>
    <row r="571" spans="2:6">
      <c r="B571" s="193"/>
      <c r="C571" s="193"/>
      <c r="D571" s="194"/>
      <c r="E571" s="194"/>
      <c r="F571" s="196"/>
    </row>
    <row r="572" spans="2:6">
      <c r="B572" s="193"/>
      <c r="C572" s="193"/>
      <c r="D572" s="194"/>
      <c r="E572" s="194"/>
      <c r="F572" s="196"/>
    </row>
    <row r="573" spans="2:6">
      <c r="B573" s="193"/>
      <c r="C573" s="193"/>
      <c r="D573" s="194"/>
      <c r="E573" s="194"/>
      <c r="F573" s="196"/>
    </row>
    <row r="574" spans="2:6">
      <c r="B574" s="193"/>
      <c r="C574" s="193"/>
      <c r="D574" s="194"/>
      <c r="E574" s="194"/>
      <c r="F574" s="196"/>
    </row>
    <row r="575" spans="2:6">
      <c r="B575" s="193"/>
      <c r="C575" s="193"/>
      <c r="D575" s="194"/>
      <c r="E575" s="194"/>
      <c r="F575" s="196"/>
    </row>
    <row r="576" spans="2:6">
      <c r="B576" s="193"/>
      <c r="C576" s="193"/>
      <c r="D576" s="194"/>
      <c r="E576" s="194"/>
      <c r="F576" s="196"/>
    </row>
    <row r="577" spans="2:6">
      <c r="B577" s="193"/>
      <c r="C577" s="193"/>
      <c r="D577" s="194"/>
      <c r="E577" s="194"/>
      <c r="F577" s="196"/>
    </row>
    <row r="578" spans="2:6">
      <c r="B578" s="193"/>
      <c r="C578" s="193"/>
      <c r="D578" s="194"/>
      <c r="E578" s="194"/>
      <c r="F578" s="196"/>
    </row>
    <row r="579" spans="2:6">
      <c r="B579" s="193"/>
      <c r="C579" s="193"/>
      <c r="D579" s="194"/>
      <c r="E579" s="194"/>
      <c r="F579" s="196"/>
    </row>
    <row r="580" spans="2:6">
      <c r="B580" s="193"/>
      <c r="C580" s="193"/>
      <c r="D580" s="194"/>
      <c r="E580" s="194"/>
      <c r="F580" s="196"/>
    </row>
    <row r="581" spans="2:6">
      <c r="B581" s="193"/>
      <c r="C581" s="193"/>
      <c r="D581" s="194"/>
      <c r="E581" s="194"/>
      <c r="F581" s="196"/>
    </row>
    <row r="582" spans="2:6">
      <c r="B582" s="193"/>
      <c r="C582" s="193"/>
      <c r="D582" s="194"/>
      <c r="E582" s="194"/>
      <c r="F582" s="196"/>
    </row>
    <row r="583" spans="2:6">
      <c r="B583" s="193"/>
      <c r="C583" s="193"/>
      <c r="D583" s="194"/>
      <c r="E583" s="194"/>
      <c r="F583" s="196"/>
    </row>
    <row r="584" spans="2:6">
      <c r="B584" s="193"/>
      <c r="C584" s="193"/>
      <c r="D584" s="194"/>
      <c r="E584" s="194"/>
      <c r="F584" s="196"/>
    </row>
    <row r="585" spans="2:6">
      <c r="B585" s="193"/>
      <c r="C585" s="193"/>
      <c r="D585" s="194"/>
      <c r="E585" s="194"/>
      <c r="F585" s="196"/>
    </row>
    <row r="586" spans="2:6">
      <c r="B586" s="193"/>
      <c r="C586" s="193"/>
      <c r="D586" s="194"/>
      <c r="E586" s="194"/>
      <c r="F586" s="196"/>
    </row>
    <row r="587" spans="2:6">
      <c r="B587" s="193"/>
      <c r="C587" s="193"/>
      <c r="D587" s="194"/>
      <c r="E587" s="194"/>
      <c r="F587" s="196"/>
    </row>
    <row r="588" spans="2:6">
      <c r="B588" s="193"/>
      <c r="C588" s="193"/>
      <c r="D588" s="194"/>
      <c r="E588" s="194"/>
      <c r="F588" s="196"/>
    </row>
    <row r="589" spans="2:6">
      <c r="B589" s="193"/>
      <c r="C589" s="193"/>
      <c r="D589" s="194"/>
      <c r="E589" s="194"/>
      <c r="F589" s="196"/>
    </row>
    <row r="590" spans="2:6">
      <c r="B590" s="193"/>
      <c r="C590" s="193"/>
      <c r="D590" s="194"/>
      <c r="E590" s="194"/>
      <c r="F590" s="196"/>
    </row>
    <row r="591" spans="2:6">
      <c r="B591" s="193"/>
      <c r="C591" s="193"/>
      <c r="D591" s="194"/>
      <c r="E591" s="194"/>
      <c r="F591" s="196"/>
    </row>
    <row r="592" spans="2:6">
      <c r="B592" s="193"/>
      <c r="C592" s="193"/>
      <c r="D592" s="194"/>
      <c r="E592" s="194"/>
      <c r="F592" s="196"/>
    </row>
    <row r="593" spans="2:6">
      <c r="B593" s="193"/>
      <c r="C593" s="193"/>
      <c r="D593" s="194"/>
      <c r="E593" s="194"/>
      <c r="F593" s="196"/>
    </row>
    <row r="594" spans="2:6">
      <c r="B594" s="193"/>
      <c r="C594" s="193"/>
      <c r="D594" s="194"/>
      <c r="E594" s="194"/>
      <c r="F594" s="196"/>
    </row>
    <row r="595" spans="2:6">
      <c r="B595" s="193"/>
      <c r="C595" s="193"/>
      <c r="D595" s="194"/>
      <c r="E595" s="194"/>
      <c r="F595" s="196"/>
    </row>
    <row r="596" spans="2:6">
      <c r="B596" s="193"/>
      <c r="C596" s="193"/>
      <c r="D596" s="194"/>
      <c r="E596" s="194"/>
      <c r="F596" s="196"/>
    </row>
    <row r="597" spans="2:6">
      <c r="B597" s="193"/>
      <c r="C597" s="193"/>
      <c r="D597" s="194"/>
      <c r="E597" s="194"/>
      <c r="F597" s="196"/>
    </row>
    <row r="598" spans="2:6">
      <c r="B598" s="193"/>
      <c r="C598" s="193"/>
      <c r="D598" s="194"/>
      <c r="E598" s="194"/>
      <c r="F598" s="196"/>
    </row>
    <row r="599" spans="2:6">
      <c r="B599" s="193"/>
      <c r="C599" s="193"/>
      <c r="D599" s="194"/>
      <c r="E599" s="194"/>
      <c r="F599" s="196"/>
    </row>
    <row r="600" spans="2:6">
      <c r="B600" s="193"/>
      <c r="C600" s="193"/>
      <c r="D600" s="194"/>
      <c r="E600" s="194"/>
      <c r="F600" s="196"/>
    </row>
    <row r="601" spans="2:6">
      <c r="B601" s="193"/>
      <c r="C601" s="193"/>
      <c r="D601" s="194"/>
      <c r="E601" s="194"/>
      <c r="F601" s="196"/>
    </row>
    <row r="602" spans="2:6">
      <c r="B602" s="193"/>
      <c r="C602" s="193"/>
      <c r="D602" s="194"/>
      <c r="E602" s="194"/>
      <c r="F602" s="196"/>
    </row>
    <row r="603" spans="2:6">
      <c r="B603" s="193"/>
      <c r="C603" s="193"/>
      <c r="D603" s="194"/>
      <c r="E603" s="194"/>
      <c r="F603" s="196"/>
    </row>
    <row r="604" spans="2:6">
      <c r="B604" s="193"/>
      <c r="C604" s="193"/>
      <c r="D604" s="194"/>
      <c r="E604" s="194"/>
      <c r="F604" s="196"/>
    </row>
    <row r="605" spans="2:6">
      <c r="B605" s="193"/>
      <c r="C605" s="193"/>
      <c r="D605" s="194"/>
      <c r="E605" s="194"/>
      <c r="F605" s="196"/>
    </row>
    <row r="606" spans="2:6">
      <c r="B606" s="193"/>
      <c r="C606" s="193"/>
      <c r="D606" s="194"/>
      <c r="E606" s="194"/>
      <c r="F606" s="196"/>
    </row>
    <row r="607" spans="2:6">
      <c r="B607" s="193"/>
      <c r="C607" s="193"/>
      <c r="D607" s="194"/>
      <c r="E607" s="194"/>
      <c r="F607" s="196"/>
    </row>
    <row r="608" spans="2:6">
      <c r="B608" s="193"/>
      <c r="C608" s="193"/>
      <c r="D608" s="194"/>
      <c r="E608" s="194"/>
      <c r="F608" s="196"/>
    </row>
    <row r="609" spans="2:6">
      <c r="B609" s="193"/>
      <c r="C609" s="193"/>
      <c r="D609" s="194"/>
      <c r="E609" s="194"/>
      <c r="F609" s="196"/>
    </row>
    <row r="610" spans="2:6">
      <c r="B610" s="193"/>
      <c r="C610" s="193"/>
      <c r="D610" s="194"/>
      <c r="E610" s="194"/>
      <c r="F610" s="196"/>
    </row>
    <row r="611" spans="2:6">
      <c r="B611" s="193"/>
      <c r="C611" s="193"/>
      <c r="D611" s="194"/>
      <c r="E611" s="194"/>
      <c r="F611" s="196"/>
    </row>
    <row r="612" spans="2:6">
      <c r="B612" s="193"/>
      <c r="C612" s="193"/>
      <c r="D612" s="194"/>
      <c r="E612" s="194"/>
      <c r="F612" s="196"/>
    </row>
    <row r="613" spans="2:6">
      <c r="B613" s="193"/>
      <c r="C613" s="193"/>
      <c r="D613" s="194"/>
      <c r="E613" s="194"/>
      <c r="F613" s="196"/>
    </row>
    <row r="614" spans="2:6">
      <c r="B614" s="193"/>
      <c r="C614" s="193"/>
      <c r="D614" s="194"/>
      <c r="E614" s="194"/>
      <c r="F614" s="196"/>
    </row>
    <row r="615" spans="2:6">
      <c r="B615" s="193"/>
      <c r="C615" s="193"/>
      <c r="D615" s="194"/>
      <c r="E615" s="194"/>
      <c r="F615" s="196"/>
    </row>
    <row r="616" spans="2:6">
      <c r="B616" s="193"/>
      <c r="C616" s="193"/>
      <c r="D616" s="194"/>
      <c r="E616" s="194"/>
      <c r="F616" s="196"/>
    </row>
    <row r="617" spans="2:6">
      <c r="B617" s="193"/>
      <c r="C617" s="193"/>
      <c r="D617" s="194"/>
      <c r="E617" s="194"/>
      <c r="F617" s="196"/>
    </row>
    <row r="618" spans="2:6">
      <c r="B618" s="193"/>
      <c r="C618" s="193"/>
      <c r="D618" s="194"/>
      <c r="E618" s="194"/>
      <c r="F618" s="196"/>
    </row>
    <row r="619" spans="2:6">
      <c r="B619" s="193"/>
      <c r="C619" s="193"/>
      <c r="D619" s="194"/>
      <c r="E619" s="194"/>
      <c r="F619" s="196"/>
    </row>
    <row r="620" spans="2:6">
      <c r="B620" s="193"/>
      <c r="C620" s="193"/>
      <c r="D620" s="194"/>
      <c r="E620" s="194"/>
      <c r="F620" s="196"/>
    </row>
    <row r="621" spans="2:6">
      <c r="B621" s="193"/>
      <c r="C621" s="193"/>
      <c r="D621" s="194"/>
      <c r="E621" s="194"/>
      <c r="F621" s="196"/>
    </row>
    <row r="622" spans="2:6">
      <c r="B622" s="193"/>
      <c r="C622" s="193"/>
      <c r="D622" s="194"/>
      <c r="E622" s="194"/>
      <c r="F622" s="196"/>
    </row>
    <row r="623" spans="2:6">
      <c r="B623" s="193"/>
      <c r="C623" s="193"/>
      <c r="D623" s="194"/>
      <c r="E623" s="194"/>
      <c r="F623" s="196"/>
    </row>
    <row r="624" spans="2:6">
      <c r="B624" s="193"/>
      <c r="C624" s="193"/>
      <c r="D624" s="194"/>
      <c r="E624" s="194"/>
      <c r="F624" s="196"/>
    </row>
    <row r="625" spans="2:6">
      <c r="B625" s="193"/>
      <c r="C625" s="193"/>
      <c r="D625" s="194"/>
      <c r="E625" s="194"/>
      <c r="F625" s="196"/>
    </row>
    <row r="626" spans="2:6">
      <c r="B626" s="193"/>
      <c r="C626" s="193"/>
      <c r="D626" s="194"/>
      <c r="E626" s="194"/>
      <c r="F626" s="196"/>
    </row>
    <row r="627" spans="2:6">
      <c r="B627" s="193"/>
      <c r="C627" s="193"/>
      <c r="D627" s="194"/>
      <c r="E627" s="194"/>
      <c r="F627" s="196"/>
    </row>
    <row r="628" spans="2:6">
      <c r="B628" s="193"/>
      <c r="C628" s="193"/>
      <c r="D628" s="194"/>
      <c r="E628" s="194"/>
      <c r="F628" s="196"/>
    </row>
    <row r="629" spans="2:6">
      <c r="B629" s="193"/>
      <c r="C629" s="193"/>
      <c r="D629" s="194"/>
      <c r="E629" s="194"/>
      <c r="F629" s="196"/>
    </row>
    <row r="630" spans="2:6">
      <c r="B630" s="193"/>
      <c r="C630" s="193"/>
      <c r="D630" s="194"/>
      <c r="E630" s="194"/>
      <c r="F630" s="196"/>
    </row>
    <row r="631" spans="2:6">
      <c r="B631" s="193"/>
      <c r="C631" s="193"/>
      <c r="D631" s="194"/>
      <c r="E631" s="194"/>
      <c r="F631" s="196"/>
    </row>
    <row r="632" spans="2:6">
      <c r="B632" s="193"/>
      <c r="C632" s="193"/>
      <c r="D632" s="194"/>
      <c r="E632" s="194"/>
      <c r="F632" s="196"/>
    </row>
    <row r="633" spans="2:6">
      <c r="B633" s="193"/>
      <c r="C633" s="193"/>
      <c r="D633" s="194"/>
      <c r="E633" s="194"/>
      <c r="F633" s="196"/>
    </row>
    <row r="634" spans="2:6">
      <c r="B634" s="193"/>
      <c r="C634" s="193"/>
      <c r="D634" s="194"/>
      <c r="E634" s="194"/>
      <c r="F634" s="196"/>
    </row>
    <row r="635" spans="2:6">
      <c r="B635" s="193"/>
      <c r="C635" s="193"/>
      <c r="D635" s="194"/>
      <c r="E635" s="194"/>
      <c r="F635" s="196"/>
    </row>
    <row r="636" spans="2:6">
      <c r="B636" s="193"/>
      <c r="C636" s="193"/>
      <c r="D636" s="194"/>
      <c r="E636" s="194"/>
      <c r="F636" s="196"/>
    </row>
    <row r="637" spans="2:6">
      <c r="B637" s="193"/>
      <c r="C637" s="193"/>
      <c r="D637" s="194"/>
      <c r="E637" s="194"/>
      <c r="F637" s="196"/>
    </row>
    <row r="638" spans="2:6">
      <c r="B638" s="193"/>
      <c r="C638" s="193"/>
      <c r="D638" s="194"/>
      <c r="E638" s="194"/>
      <c r="F638" s="196"/>
    </row>
    <row r="639" spans="2:6">
      <c r="B639" s="193"/>
      <c r="C639" s="193"/>
      <c r="D639" s="194"/>
      <c r="E639" s="194"/>
      <c r="F639" s="196"/>
    </row>
    <row r="640" spans="2:6">
      <c r="B640" s="193"/>
      <c r="C640" s="193"/>
      <c r="D640" s="194"/>
      <c r="E640" s="194"/>
      <c r="F640" s="196"/>
    </row>
    <row r="641" spans="2:6">
      <c r="B641" s="193"/>
      <c r="C641" s="193"/>
      <c r="D641" s="194"/>
      <c r="E641" s="194"/>
      <c r="F641" s="196"/>
    </row>
    <row r="642" spans="2:6">
      <c r="B642" s="193"/>
      <c r="C642" s="193"/>
      <c r="D642" s="194"/>
      <c r="E642" s="194"/>
      <c r="F642" s="196"/>
    </row>
    <row r="643" spans="2:6">
      <c r="B643" s="193"/>
      <c r="C643" s="193"/>
      <c r="D643" s="194"/>
      <c r="E643" s="194"/>
      <c r="F643" s="196"/>
    </row>
    <row r="644" spans="2:6">
      <c r="B644" s="193"/>
      <c r="C644" s="193"/>
      <c r="D644" s="194"/>
      <c r="E644" s="194"/>
      <c r="F644" s="196"/>
    </row>
    <row r="645" spans="2:6">
      <c r="B645" s="193"/>
      <c r="C645" s="193"/>
      <c r="D645" s="194"/>
      <c r="E645" s="194"/>
      <c r="F645" s="196"/>
    </row>
    <row r="646" spans="2:6">
      <c r="B646" s="193"/>
      <c r="C646" s="193"/>
      <c r="D646" s="194"/>
      <c r="E646" s="194"/>
      <c r="F646" s="196"/>
    </row>
    <row r="647" spans="2:6">
      <c r="B647" s="193"/>
      <c r="C647" s="193"/>
      <c r="D647" s="194"/>
      <c r="E647" s="194"/>
      <c r="F647" s="196"/>
    </row>
    <row r="648" spans="2:6">
      <c r="B648" s="193"/>
      <c r="C648" s="193"/>
      <c r="D648" s="194"/>
      <c r="E648" s="194"/>
      <c r="F648" s="196"/>
    </row>
    <row r="649" spans="2:6">
      <c r="B649" s="193"/>
      <c r="C649" s="193"/>
      <c r="D649" s="194"/>
      <c r="E649" s="194"/>
      <c r="F649" s="196"/>
    </row>
    <row r="650" spans="2:6">
      <c r="B650" s="193"/>
      <c r="C650" s="193"/>
      <c r="D650" s="194"/>
      <c r="E650" s="194"/>
      <c r="F650" s="196"/>
    </row>
    <row r="651" spans="2:6">
      <c r="B651" s="193"/>
      <c r="C651" s="193"/>
      <c r="D651" s="194"/>
      <c r="E651" s="194"/>
      <c r="F651" s="196"/>
    </row>
    <row r="652" spans="2:6">
      <c r="B652" s="193"/>
      <c r="C652" s="193"/>
      <c r="D652" s="194"/>
      <c r="E652" s="194"/>
      <c r="F652" s="196"/>
    </row>
    <row r="653" spans="2:6">
      <c r="B653" s="193"/>
      <c r="C653" s="193"/>
      <c r="D653" s="194"/>
      <c r="E653" s="194"/>
      <c r="F653" s="196"/>
    </row>
    <row r="654" spans="2:6">
      <c r="B654" s="193"/>
      <c r="C654" s="193"/>
      <c r="D654" s="194"/>
      <c r="E654" s="194"/>
      <c r="F654" s="196"/>
    </row>
    <row r="655" spans="2:6">
      <c r="B655" s="193"/>
      <c r="C655" s="193"/>
      <c r="D655" s="194"/>
      <c r="E655" s="194"/>
      <c r="F655" s="196"/>
    </row>
    <row r="656" spans="2:6">
      <c r="B656" s="193"/>
      <c r="C656" s="193"/>
      <c r="D656" s="194"/>
      <c r="E656" s="194"/>
      <c r="F656" s="196"/>
    </row>
    <row r="657" spans="2:6">
      <c r="B657" s="193"/>
      <c r="C657" s="193"/>
      <c r="D657" s="194"/>
      <c r="E657" s="194"/>
      <c r="F657" s="196"/>
    </row>
    <row r="658" spans="2:6">
      <c r="B658" s="193"/>
      <c r="C658" s="193"/>
      <c r="D658" s="194"/>
      <c r="E658" s="194"/>
      <c r="F658" s="196"/>
    </row>
    <row r="659" spans="2:6">
      <c r="B659" s="193"/>
      <c r="C659" s="193"/>
      <c r="D659" s="194"/>
      <c r="E659" s="194"/>
      <c r="F659" s="196"/>
    </row>
    <row r="660" spans="2:6">
      <c r="B660" s="193"/>
      <c r="C660" s="193"/>
      <c r="D660" s="194"/>
      <c r="E660" s="194"/>
      <c r="F660" s="196"/>
    </row>
    <row r="661" spans="2:6">
      <c r="B661" s="193"/>
      <c r="C661" s="193"/>
      <c r="D661" s="194"/>
      <c r="E661" s="194"/>
      <c r="F661" s="196"/>
    </row>
    <row r="662" spans="2:6">
      <c r="B662" s="193"/>
      <c r="C662" s="193"/>
      <c r="D662" s="194"/>
      <c r="E662" s="194"/>
      <c r="F662" s="196"/>
    </row>
    <row r="663" spans="2:6">
      <c r="B663" s="193"/>
      <c r="C663" s="193"/>
      <c r="D663" s="194"/>
      <c r="E663" s="194"/>
      <c r="F663" s="196"/>
    </row>
    <row r="664" spans="2:6">
      <c r="B664" s="193"/>
      <c r="C664" s="193"/>
      <c r="D664" s="194"/>
      <c r="E664" s="194"/>
      <c r="F664" s="196"/>
    </row>
    <row r="665" spans="2:6">
      <c r="B665" s="193"/>
      <c r="C665" s="193"/>
      <c r="D665" s="194"/>
      <c r="E665" s="194"/>
      <c r="F665" s="196"/>
    </row>
    <row r="666" spans="2:6">
      <c r="B666" s="193"/>
      <c r="C666" s="193"/>
      <c r="D666" s="194"/>
      <c r="E666" s="194"/>
      <c r="F666" s="196"/>
    </row>
    <row r="667" spans="2:6">
      <c r="B667" s="193"/>
      <c r="C667" s="193"/>
      <c r="D667" s="194"/>
      <c r="E667" s="194"/>
      <c r="F667" s="196"/>
    </row>
    <row r="668" spans="2:6">
      <c r="B668" s="193"/>
      <c r="C668" s="193"/>
      <c r="D668" s="194"/>
      <c r="E668" s="194"/>
      <c r="F668" s="196"/>
    </row>
    <row r="669" spans="2:6">
      <c r="B669" s="193"/>
      <c r="C669" s="193"/>
      <c r="D669" s="194"/>
      <c r="E669" s="194"/>
      <c r="F669" s="196"/>
    </row>
    <row r="670" spans="2:6">
      <c r="B670" s="193"/>
      <c r="C670" s="193"/>
      <c r="D670" s="194"/>
      <c r="E670" s="194"/>
      <c r="F670" s="196"/>
    </row>
    <row r="671" spans="2:6">
      <c r="B671" s="193"/>
      <c r="C671" s="193"/>
      <c r="D671" s="194"/>
      <c r="E671" s="194"/>
      <c r="F671" s="196"/>
    </row>
    <row r="672" spans="2:6">
      <c r="B672" s="193"/>
      <c r="C672" s="193"/>
      <c r="D672" s="194"/>
      <c r="E672" s="194"/>
      <c r="F672" s="196"/>
    </row>
    <row r="673" spans="2:6">
      <c r="B673" s="193"/>
      <c r="C673" s="193"/>
      <c r="D673" s="194"/>
      <c r="E673" s="194"/>
      <c r="F673" s="196"/>
    </row>
    <row r="674" spans="2:6">
      <c r="B674" s="193"/>
      <c r="C674" s="193"/>
      <c r="D674" s="194"/>
      <c r="E674" s="194"/>
      <c r="F674" s="196"/>
    </row>
    <row r="675" spans="2:6">
      <c r="B675" s="193"/>
      <c r="C675" s="193"/>
      <c r="D675" s="194"/>
      <c r="E675" s="194"/>
      <c r="F675" s="196"/>
    </row>
    <row r="676" spans="2:6">
      <c r="B676" s="193"/>
      <c r="C676" s="193"/>
      <c r="D676" s="194"/>
      <c r="E676" s="194"/>
      <c r="F676" s="196"/>
    </row>
    <row r="677" spans="2:6">
      <c r="B677" s="193"/>
      <c r="C677" s="193"/>
      <c r="D677" s="194"/>
      <c r="E677" s="194"/>
      <c r="F677" s="196"/>
    </row>
    <row r="678" spans="2:6">
      <c r="B678" s="193"/>
      <c r="C678" s="193"/>
      <c r="D678" s="194"/>
      <c r="E678" s="194"/>
      <c r="F678" s="196"/>
    </row>
    <row r="679" spans="2:6">
      <c r="B679" s="193"/>
      <c r="C679" s="193"/>
      <c r="D679" s="194"/>
      <c r="E679" s="194"/>
      <c r="F679" s="196"/>
    </row>
    <row r="680" spans="2:6">
      <c r="B680" s="193"/>
      <c r="C680" s="193"/>
      <c r="D680" s="194"/>
      <c r="E680" s="194"/>
      <c r="F680" s="196"/>
    </row>
    <row r="681" spans="2:6">
      <c r="B681" s="193"/>
      <c r="C681" s="193"/>
      <c r="D681" s="194"/>
      <c r="E681" s="194"/>
      <c r="F681" s="196"/>
    </row>
    <row r="682" spans="2:6">
      <c r="B682" s="193"/>
      <c r="C682" s="193"/>
      <c r="D682" s="194"/>
      <c r="E682" s="194"/>
      <c r="F682" s="196"/>
    </row>
    <row r="683" spans="2:6">
      <c r="B683" s="193"/>
      <c r="C683" s="193"/>
      <c r="D683" s="194"/>
      <c r="E683" s="194"/>
      <c r="F683" s="196"/>
    </row>
    <row r="684" spans="2:6">
      <c r="B684" s="193"/>
      <c r="C684" s="193"/>
      <c r="D684" s="194"/>
      <c r="E684" s="194"/>
      <c r="F684" s="196"/>
    </row>
    <row r="685" spans="2:6">
      <c r="B685" s="193"/>
      <c r="C685" s="193"/>
      <c r="D685" s="194"/>
      <c r="E685" s="194"/>
      <c r="F685" s="196"/>
    </row>
    <row r="686" spans="2:6">
      <c r="B686" s="193"/>
      <c r="C686" s="193"/>
      <c r="D686" s="194"/>
      <c r="E686" s="194"/>
      <c r="F686" s="196"/>
    </row>
    <row r="687" spans="2:6">
      <c r="B687" s="193"/>
      <c r="C687" s="193"/>
      <c r="D687" s="194"/>
      <c r="E687" s="194"/>
      <c r="F687" s="196"/>
    </row>
    <row r="688" spans="2:6">
      <c r="B688" s="193"/>
      <c r="C688" s="193"/>
      <c r="D688" s="194"/>
      <c r="E688" s="194"/>
      <c r="F688" s="196"/>
    </row>
    <row r="689" spans="2:6">
      <c r="B689" s="193"/>
      <c r="C689" s="193"/>
      <c r="D689" s="194"/>
      <c r="E689" s="194"/>
      <c r="F689" s="196"/>
    </row>
    <row r="690" spans="2:6">
      <c r="B690" s="193"/>
      <c r="C690" s="193"/>
      <c r="D690" s="194"/>
      <c r="E690" s="194"/>
      <c r="F690" s="196"/>
    </row>
    <row r="691" spans="2:6">
      <c r="B691" s="193"/>
      <c r="C691" s="193"/>
      <c r="D691" s="194"/>
      <c r="E691" s="194"/>
      <c r="F691" s="196"/>
    </row>
    <row r="692" spans="2:6">
      <c r="B692" s="193"/>
      <c r="C692" s="193"/>
      <c r="D692" s="194"/>
      <c r="E692" s="194"/>
      <c r="F692" s="196"/>
    </row>
    <row r="693" spans="2:6">
      <c r="B693" s="193"/>
      <c r="C693" s="193"/>
      <c r="D693" s="194"/>
      <c r="E693" s="194"/>
      <c r="F693" s="196"/>
    </row>
    <row r="694" spans="2:6">
      <c r="B694" s="193"/>
      <c r="C694" s="193"/>
      <c r="D694" s="194"/>
      <c r="E694" s="194"/>
      <c r="F694" s="196"/>
    </row>
    <row r="695" spans="2:6">
      <c r="B695" s="193"/>
      <c r="C695" s="193"/>
      <c r="D695" s="194"/>
      <c r="E695" s="194"/>
      <c r="F695" s="196"/>
    </row>
    <row r="696" spans="2:6">
      <c r="B696" s="193"/>
      <c r="C696" s="193"/>
      <c r="D696" s="194"/>
      <c r="E696" s="194"/>
      <c r="F696" s="196"/>
    </row>
    <row r="697" spans="2:6">
      <c r="B697" s="193"/>
      <c r="C697" s="193"/>
      <c r="D697" s="194"/>
      <c r="E697" s="194"/>
      <c r="F697" s="196"/>
    </row>
    <row r="698" spans="2:6">
      <c r="B698" s="193"/>
      <c r="C698" s="193"/>
      <c r="D698" s="194"/>
      <c r="E698" s="194"/>
      <c r="F698" s="196"/>
    </row>
    <row r="699" spans="2:6">
      <c r="B699" s="193"/>
      <c r="C699" s="193"/>
      <c r="D699" s="194"/>
      <c r="E699" s="194"/>
      <c r="F699" s="196"/>
    </row>
    <row r="700" spans="2:6">
      <c r="B700" s="193"/>
      <c r="C700" s="193"/>
      <c r="D700" s="194"/>
      <c r="E700" s="194"/>
      <c r="F700" s="196"/>
    </row>
    <row r="701" spans="2:6">
      <c r="B701" s="193"/>
      <c r="C701" s="193"/>
      <c r="D701" s="194"/>
      <c r="E701" s="194"/>
      <c r="F701" s="196"/>
    </row>
    <row r="702" spans="2:6">
      <c r="B702" s="193"/>
      <c r="C702" s="193"/>
      <c r="D702" s="194"/>
      <c r="E702" s="194"/>
      <c r="F702" s="196"/>
    </row>
    <row r="703" spans="2:6">
      <c r="B703" s="193"/>
      <c r="C703" s="193"/>
      <c r="D703" s="194"/>
      <c r="E703" s="194"/>
      <c r="F703" s="196"/>
    </row>
    <row r="704" spans="2:6">
      <c r="B704" s="193"/>
      <c r="C704" s="193"/>
      <c r="D704" s="194"/>
      <c r="E704" s="194"/>
      <c r="F704" s="196"/>
    </row>
    <row r="705" spans="2:6">
      <c r="B705" s="193"/>
      <c r="C705" s="193"/>
      <c r="D705" s="194"/>
      <c r="E705" s="194"/>
      <c r="F705" s="196"/>
    </row>
    <row r="706" spans="2:6">
      <c r="B706" s="193"/>
      <c r="C706" s="193"/>
      <c r="D706" s="194"/>
      <c r="E706" s="194"/>
      <c r="F706" s="196"/>
    </row>
    <row r="707" spans="2:6">
      <c r="B707" s="193"/>
      <c r="C707" s="193"/>
      <c r="D707" s="194"/>
      <c r="E707" s="194"/>
      <c r="F707" s="196"/>
    </row>
    <row r="708" spans="2:6">
      <c r="B708" s="193"/>
      <c r="C708" s="193"/>
      <c r="D708" s="194"/>
      <c r="E708" s="194"/>
      <c r="F708" s="196"/>
    </row>
    <row r="709" spans="2:6">
      <c r="B709" s="193"/>
      <c r="C709" s="193"/>
      <c r="D709" s="194"/>
      <c r="E709" s="194"/>
      <c r="F709" s="196"/>
    </row>
    <row r="710" spans="2:6">
      <c r="B710" s="193"/>
      <c r="C710" s="193"/>
      <c r="D710" s="194"/>
      <c r="E710" s="194"/>
      <c r="F710" s="196"/>
    </row>
    <row r="711" spans="2:6">
      <c r="B711" s="193"/>
      <c r="C711" s="193"/>
      <c r="D711" s="194"/>
      <c r="E711" s="194"/>
      <c r="F711" s="196"/>
    </row>
    <row r="712" spans="2:6">
      <c r="B712" s="193"/>
      <c r="C712" s="193"/>
      <c r="D712" s="194"/>
      <c r="E712" s="194"/>
      <c r="F712" s="196"/>
    </row>
    <row r="713" spans="2:6">
      <c r="B713" s="193"/>
      <c r="C713" s="193"/>
      <c r="D713" s="194"/>
      <c r="E713" s="194"/>
      <c r="F713" s="196"/>
    </row>
    <row r="714" spans="2:6">
      <c r="B714" s="193"/>
      <c r="C714" s="193"/>
      <c r="D714" s="194"/>
      <c r="E714" s="194"/>
      <c r="F714" s="196"/>
    </row>
    <row r="715" spans="2:6">
      <c r="B715" s="193"/>
      <c r="C715" s="193"/>
      <c r="D715" s="194"/>
      <c r="E715" s="194"/>
      <c r="F715" s="196"/>
    </row>
    <row r="716" spans="2:6">
      <c r="B716" s="193"/>
      <c r="C716" s="193"/>
      <c r="D716" s="194"/>
      <c r="E716" s="194"/>
      <c r="F716" s="196"/>
    </row>
    <row r="717" spans="2:6">
      <c r="B717" s="193"/>
      <c r="C717" s="193"/>
      <c r="D717" s="194"/>
      <c r="E717" s="194"/>
      <c r="F717" s="196"/>
    </row>
    <row r="718" spans="2:6">
      <c r="B718" s="193"/>
      <c r="C718" s="193"/>
      <c r="D718" s="194"/>
      <c r="E718" s="194"/>
      <c r="F718" s="196"/>
    </row>
    <row r="719" spans="2:6">
      <c r="B719" s="193"/>
      <c r="C719" s="193"/>
      <c r="D719" s="194"/>
      <c r="E719" s="194"/>
      <c r="F719" s="196"/>
    </row>
    <row r="720" spans="2:6">
      <c r="B720" s="193"/>
      <c r="C720" s="193"/>
      <c r="D720" s="194"/>
      <c r="E720" s="194"/>
      <c r="F720" s="196"/>
    </row>
    <row r="721" spans="2:6">
      <c r="B721" s="193"/>
      <c r="C721" s="193"/>
      <c r="D721" s="194"/>
      <c r="E721" s="194"/>
      <c r="F721" s="196"/>
    </row>
    <row r="722" spans="2:6">
      <c r="B722" s="193"/>
      <c r="C722" s="193"/>
      <c r="D722" s="194"/>
      <c r="E722" s="194"/>
      <c r="F722" s="196"/>
    </row>
    <row r="723" spans="2:6">
      <c r="B723" s="193"/>
      <c r="C723" s="193"/>
      <c r="D723" s="194"/>
      <c r="E723" s="194"/>
      <c r="F723" s="196"/>
    </row>
    <row r="724" spans="2:6">
      <c r="B724" s="193"/>
      <c r="C724" s="193"/>
      <c r="D724" s="194"/>
      <c r="E724" s="194"/>
      <c r="F724" s="196"/>
    </row>
    <row r="725" spans="2:6">
      <c r="B725" s="193"/>
      <c r="C725" s="193"/>
      <c r="D725" s="194"/>
      <c r="E725" s="194"/>
      <c r="F725" s="196"/>
    </row>
    <row r="726" spans="2:6">
      <c r="B726" s="193"/>
      <c r="C726" s="193"/>
      <c r="D726" s="194"/>
      <c r="E726" s="194"/>
      <c r="F726" s="196"/>
    </row>
    <row r="727" spans="2:6">
      <c r="B727" s="193"/>
      <c r="C727" s="193"/>
      <c r="D727" s="194"/>
      <c r="E727" s="194"/>
      <c r="F727" s="196"/>
    </row>
    <row r="728" spans="2:6">
      <c r="B728" s="193"/>
      <c r="C728" s="193"/>
      <c r="D728" s="194"/>
      <c r="E728" s="194"/>
      <c r="F728" s="196"/>
    </row>
    <row r="729" spans="2:6">
      <c r="B729" s="193"/>
      <c r="C729" s="193"/>
      <c r="D729" s="194"/>
      <c r="E729" s="194"/>
      <c r="F729" s="196"/>
    </row>
    <row r="730" spans="2:6">
      <c r="B730" s="193"/>
      <c r="C730" s="193"/>
      <c r="D730" s="194"/>
      <c r="E730" s="194"/>
      <c r="F730" s="196"/>
    </row>
    <row r="731" spans="2:6">
      <c r="B731" s="193"/>
      <c r="C731" s="193"/>
      <c r="D731" s="194"/>
      <c r="E731" s="194"/>
      <c r="F731" s="196"/>
    </row>
    <row r="732" spans="2:6">
      <c r="B732" s="193"/>
      <c r="C732" s="193"/>
      <c r="D732" s="194"/>
      <c r="E732" s="194"/>
      <c r="F732" s="196"/>
    </row>
    <row r="733" spans="2:6">
      <c r="B733" s="193"/>
      <c r="C733" s="193"/>
      <c r="D733" s="194"/>
      <c r="E733" s="194"/>
      <c r="F733" s="196"/>
    </row>
    <row r="734" spans="2:6">
      <c r="B734" s="193"/>
      <c r="C734" s="193"/>
      <c r="D734" s="194"/>
      <c r="E734" s="194"/>
      <c r="F734" s="196"/>
    </row>
    <row r="735" spans="2:6">
      <c r="B735" s="193"/>
      <c r="C735" s="193"/>
      <c r="D735" s="194"/>
      <c r="E735" s="194"/>
      <c r="F735" s="196"/>
    </row>
    <row r="736" spans="2:6">
      <c r="B736" s="193"/>
      <c r="C736" s="193"/>
      <c r="D736" s="194"/>
      <c r="E736" s="194"/>
      <c r="F736" s="196"/>
    </row>
    <row r="737" spans="2:6">
      <c r="B737" s="193"/>
      <c r="C737" s="193"/>
      <c r="D737" s="194"/>
      <c r="E737" s="194"/>
      <c r="F737" s="196"/>
    </row>
    <row r="738" spans="2:6">
      <c r="B738" s="193"/>
      <c r="C738" s="193"/>
      <c r="D738" s="194"/>
      <c r="E738" s="194"/>
      <c r="F738" s="196"/>
    </row>
    <row r="739" spans="2:6">
      <c r="B739" s="193"/>
      <c r="C739" s="193"/>
      <c r="D739" s="194"/>
      <c r="E739" s="194"/>
      <c r="F739" s="196"/>
    </row>
    <row r="740" spans="2:6">
      <c r="B740" s="193"/>
      <c r="C740" s="193"/>
      <c r="D740" s="194"/>
      <c r="E740" s="194"/>
      <c r="F740" s="196"/>
    </row>
    <row r="741" spans="2:6">
      <c r="B741" s="193"/>
      <c r="C741" s="193"/>
      <c r="D741" s="194"/>
      <c r="E741" s="194"/>
      <c r="F741" s="196"/>
    </row>
    <row r="742" spans="2:6">
      <c r="B742" s="193"/>
      <c r="C742" s="193"/>
      <c r="D742" s="194"/>
      <c r="E742" s="194"/>
      <c r="F742" s="196"/>
    </row>
    <row r="743" spans="2:6">
      <c r="B743" s="193"/>
      <c r="C743" s="193"/>
      <c r="D743" s="194"/>
      <c r="E743" s="194"/>
      <c r="F743" s="196"/>
    </row>
    <row r="744" spans="2:6">
      <c r="B744" s="193"/>
      <c r="C744" s="193"/>
      <c r="D744" s="194"/>
      <c r="E744" s="194"/>
      <c r="F744" s="196"/>
    </row>
    <row r="745" spans="2:6">
      <c r="B745" s="193"/>
      <c r="C745" s="193"/>
      <c r="D745" s="194"/>
      <c r="E745" s="194"/>
      <c r="F745" s="196"/>
    </row>
    <row r="746" spans="2:6">
      <c r="B746" s="193"/>
      <c r="C746" s="193"/>
      <c r="D746" s="194"/>
      <c r="E746" s="194"/>
      <c r="F746" s="196"/>
    </row>
    <row r="747" spans="2:6">
      <c r="B747" s="193"/>
      <c r="C747" s="193"/>
      <c r="D747" s="194"/>
      <c r="E747" s="194"/>
      <c r="F747" s="196"/>
    </row>
    <row r="748" spans="2:6">
      <c r="B748" s="193"/>
      <c r="C748" s="193"/>
      <c r="D748" s="194"/>
      <c r="E748" s="194"/>
      <c r="F748" s="196"/>
    </row>
    <row r="749" spans="2:6">
      <c r="B749" s="193"/>
      <c r="C749" s="193"/>
      <c r="D749" s="194"/>
      <c r="E749" s="194"/>
      <c r="F749" s="196"/>
    </row>
    <row r="750" spans="2:6">
      <c r="B750" s="193"/>
      <c r="C750" s="193"/>
      <c r="D750" s="194"/>
      <c r="E750" s="194"/>
      <c r="F750" s="196"/>
    </row>
    <row r="751" spans="2:6">
      <c r="B751" s="193"/>
      <c r="C751" s="193"/>
      <c r="D751" s="194"/>
      <c r="E751" s="194"/>
      <c r="F751" s="196"/>
    </row>
    <row r="752" spans="2:6">
      <c r="B752" s="193"/>
      <c r="C752" s="193"/>
      <c r="D752" s="194"/>
      <c r="E752" s="194"/>
      <c r="F752" s="196"/>
    </row>
    <row r="753" spans="2:6">
      <c r="B753" s="193"/>
      <c r="C753" s="193"/>
      <c r="D753" s="194"/>
      <c r="E753" s="194"/>
      <c r="F753" s="196"/>
    </row>
    <row r="754" spans="2:6">
      <c r="B754" s="193"/>
      <c r="C754" s="193"/>
      <c r="D754" s="194"/>
      <c r="E754" s="194"/>
      <c r="F754" s="196"/>
    </row>
    <row r="755" spans="2:6">
      <c r="B755" s="193"/>
      <c r="C755" s="193"/>
      <c r="D755" s="194"/>
      <c r="E755" s="194"/>
      <c r="F755" s="196"/>
    </row>
    <row r="756" spans="2:6">
      <c r="B756" s="193"/>
      <c r="C756" s="193"/>
      <c r="D756" s="194"/>
      <c r="E756" s="194"/>
      <c r="F756" s="196"/>
    </row>
    <row r="757" spans="2:6">
      <c r="B757" s="193"/>
      <c r="C757" s="193"/>
      <c r="D757" s="194"/>
      <c r="E757" s="194"/>
      <c r="F757" s="196"/>
    </row>
    <row r="758" spans="2:6">
      <c r="B758" s="193"/>
      <c r="C758" s="193"/>
      <c r="D758" s="194"/>
      <c r="E758" s="194"/>
      <c r="F758" s="196"/>
    </row>
    <row r="759" spans="2:6">
      <c r="B759" s="193"/>
      <c r="C759" s="193"/>
      <c r="D759" s="194"/>
      <c r="E759" s="194"/>
      <c r="F759" s="196"/>
    </row>
    <row r="760" spans="2:6">
      <c r="B760" s="193"/>
      <c r="C760" s="193"/>
      <c r="D760" s="194"/>
      <c r="E760" s="194"/>
      <c r="F760" s="196"/>
    </row>
    <row r="761" spans="2:6">
      <c r="B761" s="193"/>
      <c r="C761" s="193"/>
      <c r="D761" s="194"/>
      <c r="E761" s="194"/>
      <c r="F761" s="196"/>
    </row>
    <row r="762" spans="2:6">
      <c r="B762" s="193"/>
      <c r="C762" s="193"/>
      <c r="D762" s="194"/>
      <c r="E762" s="194"/>
      <c r="F762" s="196"/>
    </row>
    <row r="763" spans="2:6">
      <c r="B763" s="193"/>
      <c r="C763" s="193"/>
      <c r="D763" s="194"/>
      <c r="E763" s="194"/>
      <c r="F763" s="196"/>
    </row>
    <row r="764" spans="2:6">
      <c r="B764" s="193"/>
      <c r="C764" s="193"/>
      <c r="D764" s="194"/>
      <c r="E764" s="194"/>
      <c r="F764" s="196"/>
    </row>
    <row r="765" spans="2:6">
      <c r="B765" s="193"/>
      <c r="C765" s="193"/>
      <c r="D765" s="194"/>
      <c r="E765" s="194"/>
      <c r="F765" s="196"/>
    </row>
    <row r="766" spans="2:6">
      <c r="B766" s="193"/>
      <c r="C766" s="193"/>
      <c r="D766" s="194"/>
      <c r="E766" s="194"/>
      <c r="F766" s="196"/>
    </row>
    <row r="767" spans="2:6">
      <c r="B767" s="193"/>
      <c r="C767" s="193"/>
      <c r="D767" s="194"/>
      <c r="E767" s="194"/>
      <c r="F767" s="196"/>
    </row>
    <row r="768" spans="2:6">
      <c r="B768" s="193"/>
      <c r="C768" s="193"/>
      <c r="D768" s="194"/>
      <c r="E768" s="194"/>
      <c r="F768" s="196"/>
    </row>
    <row r="769" spans="2:6">
      <c r="B769" s="193"/>
      <c r="C769" s="193"/>
      <c r="D769" s="194"/>
      <c r="E769" s="194"/>
      <c r="F769" s="196"/>
    </row>
    <row r="770" spans="2:6">
      <c r="B770" s="193"/>
      <c r="C770" s="193"/>
      <c r="D770" s="194"/>
      <c r="E770" s="194"/>
      <c r="F770" s="196"/>
    </row>
    <row r="771" spans="2:6">
      <c r="B771" s="193"/>
      <c r="C771" s="193"/>
      <c r="D771" s="194"/>
      <c r="E771" s="194"/>
      <c r="F771" s="196"/>
    </row>
    <row r="772" spans="2:6">
      <c r="B772" s="193"/>
      <c r="C772" s="193"/>
      <c r="D772" s="194"/>
      <c r="E772" s="194"/>
      <c r="F772" s="196"/>
    </row>
    <row r="773" spans="2:6">
      <c r="B773" s="193"/>
      <c r="C773" s="193"/>
      <c r="D773" s="194"/>
      <c r="E773" s="194"/>
      <c r="F773" s="196"/>
    </row>
    <row r="774" spans="2:6">
      <c r="B774" s="193"/>
      <c r="C774" s="193"/>
      <c r="D774" s="194"/>
      <c r="E774" s="194"/>
      <c r="F774" s="196"/>
    </row>
    <row r="775" spans="2:6">
      <c r="B775" s="193"/>
      <c r="C775" s="193"/>
      <c r="D775" s="194"/>
      <c r="E775" s="194"/>
      <c r="F775" s="196"/>
    </row>
    <row r="776" spans="2:6">
      <c r="B776" s="193"/>
      <c r="C776" s="193"/>
      <c r="D776" s="194"/>
      <c r="E776" s="194"/>
      <c r="F776" s="196"/>
    </row>
    <row r="777" spans="2:6">
      <c r="B777" s="193"/>
      <c r="C777" s="193"/>
      <c r="D777" s="194"/>
      <c r="E777" s="194"/>
      <c r="F777" s="196"/>
    </row>
    <row r="778" spans="2:6">
      <c r="B778" s="193"/>
      <c r="C778" s="193"/>
      <c r="D778" s="194"/>
      <c r="E778" s="194"/>
      <c r="F778" s="196"/>
    </row>
    <row r="779" spans="2:6">
      <c r="B779" s="193"/>
      <c r="C779" s="193"/>
      <c r="D779" s="194"/>
      <c r="E779" s="194"/>
      <c r="F779" s="196"/>
    </row>
    <row r="780" spans="2:6">
      <c r="B780" s="193"/>
      <c r="C780" s="193"/>
      <c r="D780" s="194"/>
      <c r="E780" s="194"/>
      <c r="F780" s="196"/>
    </row>
    <row r="781" spans="2:6">
      <c r="B781" s="193"/>
      <c r="C781" s="193"/>
      <c r="D781" s="194"/>
      <c r="E781" s="194"/>
      <c r="F781" s="196"/>
    </row>
    <row r="782" spans="2:6">
      <c r="B782" s="193"/>
      <c r="C782" s="193"/>
      <c r="D782" s="194"/>
      <c r="E782" s="194"/>
      <c r="F782" s="196"/>
    </row>
    <row r="783" spans="2:6">
      <c r="B783" s="193"/>
      <c r="C783" s="193"/>
      <c r="D783" s="194"/>
      <c r="E783" s="194"/>
      <c r="F783" s="196"/>
    </row>
    <row r="784" spans="2:6">
      <c r="B784" s="193"/>
      <c r="C784" s="193"/>
      <c r="D784" s="194"/>
      <c r="E784" s="194"/>
      <c r="F784" s="196"/>
    </row>
    <row r="785" spans="2:6">
      <c r="B785" s="193"/>
      <c r="C785" s="193"/>
      <c r="D785" s="194"/>
      <c r="E785" s="194"/>
      <c r="F785" s="196"/>
    </row>
    <row r="786" spans="2:6">
      <c r="B786" s="193"/>
      <c r="C786" s="193"/>
      <c r="D786" s="194"/>
      <c r="E786" s="194"/>
      <c r="F786" s="196"/>
    </row>
    <row r="787" spans="2:6">
      <c r="B787" s="193"/>
      <c r="C787" s="193"/>
      <c r="D787" s="194"/>
      <c r="E787" s="194"/>
      <c r="F787" s="196"/>
    </row>
    <row r="788" spans="2:6">
      <c r="B788" s="193"/>
      <c r="C788" s="193"/>
      <c r="D788" s="194"/>
      <c r="E788" s="194"/>
      <c r="F788" s="196"/>
    </row>
    <row r="789" spans="2:6">
      <c r="B789" s="193"/>
      <c r="C789" s="193"/>
      <c r="D789" s="194"/>
      <c r="E789" s="194"/>
      <c r="F789" s="196"/>
    </row>
    <row r="790" spans="2:6">
      <c r="B790" s="193"/>
      <c r="C790" s="193"/>
      <c r="D790" s="194"/>
      <c r="E790" s="194"/>
      <c r="F790" s="196"/>
    </row>
    <row r="791" spans="2:6">
      <c r="B791" s="193"/>
      <c r="C791" s="193"/>
      <c r="D791" s="194"/>
      <c r="E791" s="194"/>
      <c r="F791" s="196"/>
    </row>
    <row r="792" spans="2:6">
      <c r="B792" s="193"/>
      <c r="C792" s="193"/>
      <c r="D792" s="194"/>
      <c r="E792" s="194"/>
      <c r="F792" s="196"/>
    </row>
    <row r="793" spans="2:6">
      <c r="B793" s="193"/>
      <c r="C793" s="193"/>
      <c r="D793" s="194"/>
      <c r="E793" s="194"/>
      <c r="F793" s="196"/>
    </row>
    <row r="794" spans="2:6">
      <c r="B794" s="193"/>
      <c r="C794" s="193"/>
      <c r="D794" s="194"/>
      <c r="E794" s="194"/>
      <c r="F794" s="196"/>
    </row>
    <row r="795" spans="2:6">
      <c r="B795" s="193"/>
      <c r="C795" s="193"/>
      <c r="D795" s="194"/>
      <c r="E795" s="194"/>
      <c r="F795" s="196"/>
    </row>
    <row r="796" spans="2:6">
      <c r="B796" s="193"/>
      <c r="C796" s="193"/>
      <c r="D796" s="194"/>
      <c r="E796" s="194"/>
      <c r="F796" s="196"/>
    </row>
    <row r="797" spans="2:6">
      <c r="B797" s="193"/>
      <c r="C797" s="193"/>
      <c r="D797" s="194"/>
      <c r="E797" s="194"/>
      <c r="F797" s="196"/>
    </row>
    <row r="798" spans="2:6">
      <c r="B798" s="193"/>
      <c r="C798" s="193"/>
      <c r="D798" s="194"/>
      <c r="E798" s="194"/>
      <c r="F798" s="196"/>
    </row>
    <row r="799" spans="2:6">
      <c r="B799" s="193"/>
      <c r="C799" s="193"/>
      <c r="D799" s="194"/>
      <c r="E799" s="194"/>
      <c r="F799" s="196"/>
    </row>
    <row r="800" spans="2:6">
      <c r="B800" s="193"/>
      <c r="C800" s="193"/>
      <c r="D800" s="194"/>
      <c r="E800" s="194"/>
      <c r="F800" s="196"/>
    </row>
    <row r="801" spans="2:6">
      <c r="B801" s="193"/>
      <c r="C801" s="193"/>
      <c r="D801" s="194"/>
      <c r="E801" s="194"/>
      <c r="F801" s="196"/>
    </row>
    <row r="802" spans="2:6">
      <c r="B802" s="193"/>
      <c r="C802" s="193"/>
      <c r="D802" s="194"/>
      <c r="E802" s="194"/>
      <c r="F802" s="196"/>
    </row>
    <row r="803" spans="2:6">
      <c r="B803" s="193"/>
      <c r="C803" s="193"/>
      <c r="D803" s="194"/>
      <c r="E803" s="194"/>
      <c r="F803" s="196"/>
    </row>
    <row r="804" spans="2:6">
      <c r="B804" s="193"/>
      <c r="C804" s="193"/>
      <c r="D804" s="194"/>
      <c r="E804" s="194"/>
      <c r="F804" s="196"/>
    </row>
    <row r="805" spans="2:6">
      <c r="B805" s="193"/>
      <c r="C805" s="193"/>
      <c r="D805" s="194"/>
      <c r="E805" s="194"/>
      <c r="F805" s="196"/>
    </row>
    <row r="806" spans="2:6">
      <c r="B806" s="193"/>
      <c r="C806" s="193"/>
      <c r="D806" s="194"/>
      <c r="E806" s="194"/>
      <c r="F806" s="196"/>
    </row>
    <row r="807" spans="2:6">
      <c r="B807" s="193"/>
      <c r="C807" s="193"/>
      <c r="D807" s="194"/>
      <c r="E807" s="194"/>
      <c r="F807" s="196"/>
    </row>
    <row r="808" spans="2:6">
      <c r="B808" s="193"/>
      <c r="C808" s="193"/>
      <c r="D808" s="194"/>
      <c r="E808" s="194"/>
      <c r="F808" s="196"/>
    </row>
    <row r="809" spans="2:6">
      <c r="B809" s="193"/>
      <c r="C809" s="193"/>
      <c r="D809" s="194"/>
      <c r="E809" s="194"/>
      <c r="F809" s="196"/>
    </row>
    <row r="810" spans="2:6">
      <c r="B810" s="193"/>
      <c r="C810" s="193"/>
      <c r="D810" s="194"/>
      <c r="E810" s="194"/>
      <c r="F810" s="196"/>
    </row>
    <row r="811" spans="2:6">
      <c r="B811" s="193"/>
      <c r="C811" s="193"/>
      <c r="D811" s="194"/>
      <c r="E811" s="194"/>
      <c r="F811" s="196"/>
    </row>
    <row r="812" spans="2:6">
      <c r="B812" s="193"/>
      <c r="C812" s="193"/>
      <c r="D812" s="194"/>
      <c r="E812" s="194"/>
      <c r="F812" s="196"/>
    </row>
    <row r="813" spans="2:6">
      <c r="B813" s="193"/>
      <c r="C813" s="193"/>
      <c r="D813" s="194"/>
      <c r="E813" s="194"/>
      <c r="F813" s="196"/>
    </row>
    <row r="814" spans="2:6">
      <c r="B814" s="193"/>
      <c r="C814" s="193"/>
      <c r="D814" s="194"/>
      <c r="E814" s="194"/>
      <c r="F814" s="196"/>
    </row>
    <row r="815" spans="2:6">
      <c r="B815" s="193"/>
      <c r="C815" s="193"/>
      <c r="D815" s="194"/>
      <c r="E815" s="194"/>
      <c r="F815" s="196"/>
    </row>
    <row r="816" spans="2:6">
      <c r="B816" s="193"/>
      <c r="C816" s="193"/>
      <c r="D816" s="194"/>
      <c r="E816" s="194"/>
      <c r="F816" s="196"/>
    </row>
    <row r="817" spans="2:6">
      <c r="B817" s="193"/>
      <c r="C817" s="193"/>
      <c r="D817" s="194"/>
      <c r="E817" s="194"/>
      <c r="F817" s="196"/>
    </row>
    <row r="818" spans="2:6">
      <c r="B818" s="193"/>
      <c r="C818" s="193"/>
      <c r="D818" s="194"/>
      <c r="E818" s="194"/>
      <c r="F818" s="196"/>
    </row>
    <row r="819" spans="2:6">
      <c r="B819" s="193"/>
      <c r="C819" s="193"/>
      <c r="D819" s="194"/>
      <c r="E819" s="194"/>
      <c r="F819" s="196"/>
    </row>
    <row r="820" spans="2:6">
      <c r="B820" s="193"/>
      <c r="C820" s="193"/>
      <c r="D820" s="194"/>
      <c r="E820" s="194"/>
      <c r="F820" s="196"/>
    </row>
    <row r="821" spans="2:6">
      <c r="B821" s="193"/>
      <c r="C821" s="193"/>
      <c r="D821" s="194"/>
      <c r="E821" s="194"/>
      <c r="F821" s="196"/>
    </row>
    <row r="822" spans="2:6">
      <c r="B822" s="193"/>
      <c r="C822" s="193"/>
      <c r="D822" s="194"/>
      <c r="E822" s="194"/>
      <c r="F822" s="196"/>
    </row>
    <row r="823" spans="2:6">
      <c r="B823" s="193"/>
      <c r="C823" s="193"/>
      <c r="D823" s="194"/>
      <c r="E823" s="194"/>
      <c r="F823" s="196"/>
    </row>
    <row r="824" spans="2:6">
      <c r="B824" s="193"/>
      <c r="C824" s="193"/>
      <c r="D824" s="194"/>
      <c r="E824" s="194"/>
      <c r="F824" s="196"/>
    </row>
    <row r="825" spans="2:6">
      <c r="B825" s="193"/>
      <c r="C825" s="193"/>
      <c r="D825" s="194"/>
      <c r="E825" s="194"/>
      <c r="F825" s="196"/>
    </row>
    <row r="826" spans="2:6">
      <c r="B826" s="193"/>
      <c r="C826" s="193"/>
      <c r="D826" s="194"/>
      <c r="E826" s="194"/>
      <c r="F826" s="196"/>
    </row>
    <row r="827" spans="2:6">
      <c r="B827" s="193"/>
      <c r="C827" s="193"/>
      <c r="D827" s="194"/>
      <c r="E827" s="194"/>
      <c r="F827" s="196"/>
    </row>
    <row r="828" spans="2:6">
      <c r="B828" s="193"/>
      <c r="C828" s="193"/>
      <c r="D828" s="194"/>
      <c r="E828" s="194"/>
      <c r="F828" s="196"/>
    </row>
    <row r="829" spans="2:6">
      <c r="B829" s="193"/>
      <c r="C829" s="193"/>
      <c r="D829" s="194"/>
      <c r="E829" s="194"/>
      <c r="F829" s="196"/>
    </row>
    <row r="830" spans="2:6">
      <c r="B830" s="193"/>
      <c r="C830" s="193"/>
      <c r="D830" s="194"/>
      <c r="E830" s="194"/>
      <c r="F830" s="196"/>
    </row>
    <row r="831" spans="2:6">
      <c r="B831" s="193"/>
      <c r="C831" s="193"/>
      <c r="D831" s="194"/>
      <c r="E831" s="194"/>
      <c r="F831" s="196"/>
    </row>
    <row r="832" spans="2:6">
      <c r="B832" s="193"/>
      <c r="C832" s="193"/>
      <c r="D832" s="194"/>
      <c r="E832" s="194"/>
      <c r="F832" s="196"/>
    </row>
    <row r="833" spans="2:6">
      <c r="B833" s="193"/>
      <c r="C833" s="193"/>
      <c r="D833" s="194"/>
      <c r="E833" s="194"/>
      <c r="F833" s="196"/>
    </row>
    <row r="834" spans="2:6">
      <c r="B834" s="193"/>
      <c r="C834" s="193"/>
      <c r="D834" s="194"/>
      <c r="E834" s="194"/>
      <c r="F834" s="196"/>
    </row>
    <row r="835" spans="2:6">
      <c r="B835" s="193"/>
      <c r="C835" s="193"/>
      <c r="D835" s="194"/>
      <c r="E835" s="194"/>
      <c r="F835" s="196"/>
    </row>
    <row r="836" spans="2:6">
      <c r="B836" s="193"/>
      <c r="C836" s="193"/>
      <c r="D836" s="194"/>
      <c r="E836" s="194"/>
      <c r="F836" s="196"/>
    </row>
    <row r="837" spans="2:6">
      <c r="B837" s="193"/>
      <c r="C837" s="193"/>
      <c r="D837" s="194"/>
      <c r="E837" s="194"/>
      <c r="F837" s="196"/>
    </row>
    <row r="838" spans="2:6">
      <c r="B838" s="193"/>
      <c r="C838" s="193"/>
      <c r="D838" s="194"/>
      <c r="E838" s="194"/>
      <c r="F838" s="196"/>
    </row>
    <row r="839" spans="2:6">
      <c r="B839" s="193"/>
      <c r="C839" s="193"/>
      <c r="D839" s="194"/>
      <c r="E839" s="194"/>
      <c r="F839" s="196"/>
    </row>
    <row r="840" spans="2:6">
      <c r="B840" s="193"/>
      <c r="C840" s="193"/>
      <c r="D840" s="194"/>
      <c r="E840" s="194"/>
      <c r="F840" s="196"/>
    </row>
    <row r="841" spans="2:6">
      <c r="B841" s="193"/>
      <c r="C841" s="193"/>
      <c r="D841" s="194"/>
      <c r="E841" s="194"/>
      <c r="F841" s="196"/>
    </row>
    <row r="842" spans="2:6">
      <c r="B842" s="193"/>
      <c r="C842" s="193"/>
      <c r="D842" s="194"/>
      <c r="E842" s="194"/>
      <c r="F842" s="196"/>
    </row>
    <row r="843" spans="2:6">
      <c r="B843" s="193"/>
      <c r="C843" s="193"/>
      <c r="D843" s="194"/>
      <c r="E843" s="194"/>
      <c r="F843" s="196"/>
    </row>
    <row r="844" spans="2:6">
      <c r="B844" s="193"/>
      <c r="C844" s="193"/>
      <c r="D844" s="194"/>
      <c r="E844" s="194"/>
      <c r="F844" s="196"/>
    </row>
    <row r="845" spans="2:6">
      <c r="B845" s="193"/>
      <c r="C845" s="193"/>
      <c r="D845" s="194"/>
      <c r="E845" s="194"/>
      <c r="F845" s="196"/>
    </row>
    <row r="846" spans="2:6">
      <c r="B846" s="193"/>
      <c r="C846" s="193"/>
      <c r="D846" s="194"/>
      <c r="E846" s="194"/>
      <c r="F846" s="196"/>
    </row>
    <row r="847" spans="2:6">
      <c r="B847" s="193"/>
      <c r="C847" s="193"/>
      <c r="D847" s="194"/>
      <c r="E847" s="194"/>
      <c r="F847" s="196"/>
    </row>
    <row r="848" spans="2:6">
      <c r="B848" s="193"/>
      <c r="C848" s="193"/>
      <c r="D848" s="194"/>
      <c r="E848" s="194"/>
      <c r="F848" s="196"/>
    </row>
    <row r="849" spans="2:6">
      <c r="B849" s="193"/>
      <c r="C849" s="193"/>
      <c r="D849" s="194"/>
      <c r="E849" s="194"/>
      <c r="F849" s="196"/>
    </row>
    <row r="850" spans="2:6">
      <c r="B850" s="193"/>
      <c r="C850" s="193"/>
      <c r="D850" s="194"/>
      <c r="E850" s="194"/>
      <c r="F850" s="196"/>
    </row>
    <row r="851" spans="2:6">
      <c r="B851" s="193"/>
      <c r="C851" s="193"/>
      <c r="D851" s="194"/>
      <c r="E851" s="194"/>
      <c r="F851" s="196"/>
    </row>
    <row r="852" spans="2:6">
      <c r="B852" s="193"/>
      <c r="C852" s="193"/>
      <c r="D852" s="194"/>
      <c r="E852" s="194"/>
      <c r="F852" s="196"/>
    </row>
    <row r="853" spans="2:6">
      <c r="B853" s="193"/>
      <c r="C853" s="193"/>
      <c r="D853" s="194"/>
      <c r="E853" s="194"/>
      <c r="F853" s="196"/>
    </row>
    <row r="854" spans="2:6">
      <c r="B854" s="193"/>
      <c r="C854" s="193"/>
      <c r="D854" s="194"/>
      <c r="E854" s="194"/>
      <c r="F854" s="196"/>
    </row>
    <row r="855" spans="2:6">
      <c r="B855" s="193"/>
      <c r="C855" s="193"/>
      <c r="D855" s="194"/>
      <c r="E855" s="194"/>
      <c r="F855" s="196"/>
    </row>
    <row r="856" spans="2:6">
      <c r="B856" s="193"/>
      <c r="C856" s="193"/>
      <c r="D856" s="194"/>
      <c r="E856" s="194"/>
      <c r="F856" s="196"/>
    </row>
    <row r="857" spans="2:6">
      <c r="B857" s="193"/>
      <c r="C857" s="193"/>
      <c r="D857" s="194"/>
      <c r="E857" s="194"/>
      <c r="F857" s="196"/>
    </row>
    <row r="858" spans="2:6">
      <c r="B858" s="193"/>
      <c r="C858" s="193"/>
      <c r="D858" s="194"/>
      <c r="E858" s="194"/>
      <c r="F858" s="196"/>
    </row>
    <row r="859" spans="2:6">
      <c r="B859" s="193"/>
      <c r="C859" s="193"/>
      <c r="D859" s="194"/>
      <c r="E859" s="194"/>
      <c r="F859" s="196"/>
    </row>
    <row r="860" spans="2:6">
      <c r="B860" s="193"/>
      <c r="C860" s="193"/>
      <c r="D860" s="194"/>
      <c r="E860" s="194"/>
      <c r="F860" s="196"/>
    </row>
    <row r="861" spans="2:6">
      <c r="B861" s="193"/>
      <c r="C861" s="193"/>
      <c r="D861" s="194"/>
      <c r="E861" s="194"/>
      <c r="F861" s="196"/>
    </row>
    <row r="862" spans="2:6">
      <c r="B862" s="193"/>
      <c r="C862" s="193"/>
      <c r="D862" s="194"/>
      <c r="E862" s="194"/>
      <c r="F862" s="196"/>
    </row>
    <row r="863" spans="2:6">
      <c r="B863" s="193"/>
      <c r="C863" s="193"/>
      <c r="D863" s="194"/>
      <c r="E863" s="194"/>
      <c r="F863" s="196"/>
    </row>
    <row r="864" spans="2:6">
      <c r="B864" s="193"/>
      <c r="C864" s="193"/>
      <c r="D864" s="194"/>
      <c r="E864" s="194"/>
      <c r="F864" s="196"/>
    </row>
    <row r="865" spans="2:6">
      <c r="B865" s="193"/>
      <c r="C865" s="193"/>
      <c r="D865" s="194"/>
      <c r="E865" s="194"/>
      <c r="F865" s="196"/>
    </row>
    <row r="866" spans="2:6">
      <c r="B866" s="193"/>
      <c r="C866" s="193"/>
      <c r="D866" s="194"/>
      <c r="E866" s="194"/>
      <c r="F866" s="196"/>
    </row>
    <row r="867" spans="2:6">
      <c r="B867" s="193"/>
      <c r="C867" s="193"/>
      <c r="D867" s="194"/>
      <c r="E867" s="194"/>
      <c r="F867" s="196"/>
    </row>
    <row r="868" spans="2:6">
      <c r="B868" s="193"/>
      <c r="C868" s="193"/>
      <c r="D868" s="194"/>
      <c r="E868" s="194"/>
      <c r="F868" s="196"/>
    </row>
    <row r="869" spans="2:6">
      <c r="B869" s="193"/>
      <c r="C869" s="193"/>
      <c r="D869" s="194"/>
      <c r="E869" s="194"/>
      <c r="F869" s="196"/>
    </row>
    <row r="870" spans="2:6">
      <c r="B870" s="193"/>
      <c r="C870" s="193"/>
      <c r="D870" s="194"/>
      <c r="E870" s="194"/>
      <c r="F870" s="196"/>
    </row>
    <row r="871" spans="2:6">
      <c r="B871" s="193"/>
      <c r="C871" s="193"/>
      <c r="D871" s="194"/>
      <c r="E871" s="194"/>
      <c r="F871" s="196"/>
    </row>
    <row r="872" spans="2:6">
      <c r="B872" s="193"/>
      <c r="C872" s="193"/>
      <c r="D872" s="194"/>
      <c r="E872" s="194"/>
      <c r="F872" s="196"/>
    </row>
    <row r="873" spans="2:6">
      <c r="B873" s="193"/>
      <c r="C873" s="193"/>
      <c r="D873" s="194"/>
      <c r="E873" s="194"/>
      <c r="F873" s="196"/>
    </row>
    <row r="874" spans="2:6">
      <c r="B874" s="193"/>
      <c r="C874" s="193"/>
      <c r="D874" s="194"/>
      <c r="E874" s="194"/>
      <c r="F874" s="196"/>
    </row>
    <row r="875" spans="2:6">
      <c r="B875" s="193"/>
      <c r="C875" s="193"/>
      <c r="D875" s="194"/>
      <c r="E875" s="194"/>
      <c r="F875" s="196"/>
    </row>
    <row r="876" spans="2:6">
      <c r="B876" s="193"/>
      <c r="C876" s="193"/>
      <c r="D876" s="194"/>
      <c r="E876" s="194"/>
      <c r="F876" s="196"/>
    </row>
    <row r="877" spans="2:6">
      <c r="B877" s="193"/>
      <c r="C877" s="193"/>
      <c r="D877" s="194"/>
      <c r="E877" s="194"/>
      <c r="F877" s="196"/>
    </row>
    <row r="878" spans="2:6">
      <c r="B878" s="193"/>
      <c r="C878" s="193"/>
      <c r="D878" s="194"/>
      <c r="E878" s="194"/>
      <c r="F878" s="196"/>
    </row>
    <row r="879" spans="2:6">
      <c r="B879" s="193"/>
      <c r="C879" s="193"/>
      <c r="D879" s="194"/>
      <c r="E879" s="194"/>
      <c r="F879" s="196"/>
    </row>
    <row r="880" spans="2:6">
      <c r="B880" s="193"/>
      <c r="C880" s="193"/>
      <c r="D880" s="194"/>
      <c r="E880" s="194"/>
      <c r="F880" s="196"/>
    </row>
    <row r="881" spans="2:6">
      <c r="B881" s="193"/>
      <c r="C881" s="193"/>
      <c r="D881" s="194"/>
      <c r="E881" s="194"/>
      <c r="F881" s="196"/>
    </row>
    <row r="882" spans="2:6">
      <c r="B882" s="193"/>
      <c r="C882" s="193"/>
      <c r="D882" s="194"/>
      <c r="E882" s="194"/>
      <c r="F882" s="196"/>
    </row>
    <row r="883" spans="2:6">
      <c r="B883" s="193"/>
      <c r="C883" s="193"/>
      <c r="D883" s="194"/>
      <c r="E883" s="194"/>
      <c r="F883" s="196"/>
    </row>
    <row r="884" spans="2:6">
      <c r="B884" s="193"/>
      <c r="C884" s="193"/>
      <c r="D884" s="194"/>
      <c r="E884" s="194"/>
      <c r="F884" s="196"/>
    </row>
    <row r="885" spans="2:6">
      <c r="B885" s="193"/>
      <c r="C885" s="193"/>
      <c r="D885" s="194"/>
      <c r="E885" s="194"/>
      <c r="F885" s="196"/>
    </row>
    <row r="886" spans="2:6">
      <c r="B886" s="193"/>
      <c r="C886" s="193"/>
      <c r="D886" s="194"/>
      <c r="E886" s="194"/>
      <c r="F886" s="196"/>
    </row>
    <row r="887" spans="2:6">
      <c r="B887" s="193"/>
      <c r="C887" s="193"/>
      <c r="D887" s="194"/>
      <c r="E887" s="194"/>
      <c r="F887" s="196"/>
    </row>
    <row r="888" spans="2:6">
      <c r="B888" s="193"/>
      <c r="C888" s="193"/>
      <c r="D888" s="194"/>
      <c r="E888" s="194"/>
      <c r="F888" s="196"/>
    </row>
    <row r="889" spans="2:6">
      <c r="B889" s="193"/>
      <c r="C889" s="193"/>
      <c r="D889" s="194"/>
      <c r="E889" s="194"/>
      <c r="F889" s="196"/>
    </row>
    <row r="890" spans="2:6">
      <c r="B890" s="193"/>
      <c r="C890" s="193"/>
      <c r="D890" s="194"/>
      <c r="E890" s="194"/>
      <c r="F890" s="196"/>
    </row>
    <row r="891" spans="2:6">
      <c r="B891" s="193"/>
      <c r="C891" s="193"/>
      <c r="D891" s="194"/>
      <c r="E891" s="194"/>
      <c r="F891" s="196"/>
    </row>
    <row r="892" spans="2:6">
      <c r="B892" s="193"/>
      <c r="C892" s="193"/>
      <c r="D892" s="194"/>
      <c r="E892" s="194"/>
      <c r="F892" s="196"/>
    </row>
    <row r="893" spans="2:6">
      <c r="B893" s="193"/>
      <c r="C893" s="193"/>
      <c r="D893" s="194"/>
      <c r="E893" s="194"/>
      <c r="F893" s="196"/>
    </row>
    <row r="894" spans="2:6">
      <c r="B894" s="193"/>
      <c r="C894" s="193"/>
      <c r="D894" s="194"/>
      <c r="E894" s="194"/>
      <c r="F894" s="196"/>
    </row>
    <row r="895" spans="2:6">
      <c r="B895" s="193"/>
      <c r="C895" s="193"/>
      <c r="D895" s="194"/>
      <c r="E895" s="194"/>
      <c r="F895" s="196"/>
    </row>
    <row r="896" spans="2:6">
      <c r="B896" s="193"/>
      <c r="C896" s="193"/>
      <c r="D896" s="194"/>
      <c r="E896" s="194"/>
      <c r="F896" s="196"/>
    </row>
    <row r="897" spans="2:6">
      <c r="B897" s="193"/>
      <c r="C897" s="193"/>
      <c r="D897" s="194"/>
      <c r="E897" s="194"/>
      <c r="F897" s="196"/>
    </row>
    <row r="898" spans="2:6">
      <c r="B898" s="193"/>
      <c r="C898" s="193"/>
      <c r="D898" s="194"/>
      <c r="E898" s="194"/>
      <c r="F898" s="196"/>
    </row>
    <row r="899" spans="2:6">
      <c r="B899" s="193"/>
      <c r="C899" s="193"/>
      <c r="D899" s="194"/>
      <c r="E899" s="194"/>
      <c r="F899" s="196"/>
    </row>
    <row r="900" spans="2:6">
      <c r="B900" s="193"/>
      <c r="C900" s="193"/>
      <c r="D900" s="194"/>
      <c r="E900" s="194"/>
      <c r="F900" s="196"/>
    </row>
    <row r="901" spans="2:6">
      <c r="B901" s="193"/>
      <c r="C901" s="193"/>
      <c r="D901" s="194"/>
      <c r="E901" s="194"/>
      <c r="F901" s="196"/>
    </row>
    <row r="902" spans="2:6">
      <c r="B902" s="193"/>
      <c r="C902" s="193"/>
      <c r="D902" s="194"/>
      <c r="E902" s="194"/>
      <c r="F902" s="196"/>
    </row>
    <row r="903" spans="2:6">
      <c r="B903" s="193"/>
      <c r="C903" s="193"/>
      <c r="D903" s="194"/>
      <c r="E903" s="194"/>
      <c r="F903" s="196"/>
    </row>
    <row r="904" spans="2:6">
      <c r="B904" s="193"/>
      <c r="C904" s="193"/>
      <c r="D904" s="194"/>
      <c r="E904" s="194"/>
      <c r="F904" s="196"/>
    </row>
    <row r="905" spans="2:6">
      <c r="B905" s="193"/>
      <c r="C905" s="193"/>
      <c r="D905" s="194"/>
      <c r="E905" s="194"/>
      <c r="F905" s="196"/>
    </row>
    <row r="906" spans="2:6">
      <c r="B906" s="193"/>
      <c r="C906" s="193"/>
      <c r="D906" s="194"/>
      <c r="E906" s="194"/>
      <c r="F906" s="196"/>
    </row>
    <row r="907" spans="2:6">
      <c r="B907" s="193"/>
      <c r="C907" s="193"/>
      <c r="D907" s="194"/>
      <c r="E907" s="194"/>
      <c r="F907" s="196"/>
    </row>
    <row r="908" spans="2:6">
      <c r="B908" s="193"/>
      <c r="C908" s="193"/>
      <c r="D908" s="194"/>
      <c r="E908" s="194"/>
      <c r="F908" s="196"/>
    </row>
    <row r="909" spans="2:6">
      <c r="B909" s="193"/>
      <c r="C909" s="193"/>
      <c r="D909" s="194"/>
      <c r="E909" s="194"/>
      <c r="F909" s="196"/>
    </row>
    <row r="910" spans="2:6">
      <c r="B910" s="193"/>
      <c r="C910" s="193"/>
      <c r="D910" s="194"/>
      <c r="E910" s="194"/>
      <c r="F910" s="196"/>
    </row>
    <row r="911" spans="2:6">
      <c r="B911" s="193"/>
      <c r="C911" s="193"/>
      <c r="D911" s="194"/>
      <c r="E911" s="194"/>
      <c r="F911" s="196"/>
    </row>
    <row r="912" spans="2:6">
      <c r="B912" s="193"/>
      <c r="C912" s="193"/>
      <c r="D912" s="194"/>
      <c r="E912" s="194"/>
      <c r="F912" s="196"/>
    </row>
    <row r="913" spans="2:6">
      <c r="B913" s="193"/>
      <c r="C913" s="193"/>
      <c r="D913" s="194"/>
      <c r="E913" s="194"/>
      <c r="F913" s="196"/>
    </row>
    <row r="914" spans="2:6">
      <c r="B914" s="193"/>
      <c r="C914" s="193"/>
      <c r="D914" s="194"/>
      <c r="E914" s="194"/>
      <c r="F914" s="196"/>
    </row>
    <row r="915" spans="2:6">
      <c r="B915" s="193"/>
      <c r="C915" s="193"/>
      <c r="D915" s="194"/>
      <c r="E915" s="194"/>
      <c r="F915" s="196"/>
    </row>
    <row r="916" spans="2:6">
      <c r="B916" s="193"/>
      <c r="C916" s="193"/>
      <c r="D916" s="194"/>
      <c r="E916" s="194"/>
      <c r="F916" s="196"/>
    </row>
    <row r="917" spans="2:6">
      <c r="B917" s="193"/>
      <c r="C917" s="193"/>
      <c r="D917" s="194"/>
      <c r="E917" s="194"/>
      <c r="F917" s="196"/>
    </row>
    <row r="918" spans="2:6">
      <c r="B918" s="193"/>
      <c r="C918" s="193"/>
      <c r="D918" s="194"/>
      <c r="E918" s="194"/>
      <c r="F918" s="196"/>
    </row>
    <row r="919" spans="2:6">
      <c r="B919" s="193"/>
      <c r="C919" s="193"/>
      <c r="D919" s="194"/>
      <c r="E919" s="194"/>
      <c r="F919" s="196"/>
    </row>
    <row r="920" spans="2:6">
      <c r="B920" s="193"/>
      <c r="C920" s="193"/>
      <c r="D920" s="194"/>
      <c r="E920" s="194"/>
      <c r="F920" s="196"/>
    </row>
    <row r="921" spans="2:6">
      <c r="B921" s="193"/>
      <c r="C921" s="193"/>
      <c r="D921" s="194"/>
      <c r="E921" s="194"/>
      <c r="F921" s="196"/>
    </row>
    <row r="922" spans="2:6">
      <c r="B922" s="193"/>
      <c r="C922" s="193"/>
      <c r="D922" s="194"/>
      <c r="E922" s="194"/>
      <c r="F922" s="196"/>
    </row>
    <row r="923" spans="2:6">
      <c r="B923" s="193"/>
      <c r="C923" s="193"/>
      <c r="D923" s="194"/>
      <c r="E923" s="194"/>
      <c r="F923" s="196"/>
    </row>
    <row r="924" spans="2:6">
      <c r="B924" s="193"/>
      <c r="C924" s="193"/>
      <c r="D924" s="194"/>
      <c r="E924" s="194"/>
      <c r="F924" s="196"/>
    </row>
    <row r="925" spans="2:6">
      <c r="B925" s="193"/>
      <c r="C925" s="193"/>
      <c r="D925" s="194"/>
      <c r="E925" s="194"/>
      <c r="F925" s="196"/>
    </row>
    <row r="926" spans="2:6">
      <c r="B926" s="193"/>
      <c r="C926" s="193"/>
      <c r="D926" s="194"/>
      <c r="E926" s="194"/>
      <c r="F926" s="196"/>
    </row>
    <row r="927" spans="2:6">
      <c r="B927" s="193"/>
      <c r="C927" s="193"/>
      <c r="D927" s="194"/>
      <c r="E927" s="194"/>
      <c r="F927" s="196"/>
    </row>
    <row r="928" spans="2:6">
      <c r="B928" s="193"/>
      <c r="C928" s="193"/>
      <c r="D928" s="194"/>
      <c r="E928" s="194"/>
      <c r="F928" s="196"/>
    </row>
    <row r="929" spans="2:6">
      <c r="B929" s="193"/>
      <c r="C929" s="193"/>
      <c r="D929" s="194"/>
      <c r="E929" s="194"/>
      <c r="F929" s="196"/>
    </row>
    <row r="930" spans="2:6">
      <c r="B930" s="193"/>
      <c r="C930" s="193"/>
      <c r="D930" s="194"/>
      <c r="E930" s="194"/>
      <c r="F930" s="196"/>
    </row>
    <row r="931" spans="2:6">
      <c r="B931" s="193"/>
      <c r="C931" s="193"/>
      <c r="D931" s="194"/>
      <c r="E931" s="194"/>
      <c r="F931" s="196"/>
    </row>
    <row r="932" spans="2:6">
      <c r="B932" s="193"/>
      <c r="C932" s="193"/>
      <c r="D932" s="194"/>
      <c r="E932" s="194"/>
      <c r="F932" s="196"/>
    </row>
    <row r="933" spans="2:6">
      <c r="B933" s="193"/>
      <c r="C933" s="193"/>
      <c r="D933" s="194"/>
      <c r="E933" s="194"/>
      <c r="F933" s="196"/>
    </row>
    <row r="934" spans="2:6">
      <c r="B934" s="193"/>
      <c r="C934" s="193"/>
      <c r="D934" s="194"/>
      <c r="E934" s="194"/>
      <c r="F934" s="196"/>
    </row>
    <row r="935" spans="2:6">
      <c r="B935" s="193"/>
      <c r="C935" s="193"/>
      <c r="D935" s="194"/>
      <c r="E935" s="194"/>
      <c r="F935" s="196"/>
    </row>
    <row r="936" spans="2:6">
      <c r="B936" s="193"/>
      <c r="C936" s="193"/>
      <c r="D936" s="194"/>
      <c r="E936" s="194"/>
      <c r="F936" s="196"/>
    </row>
    <row r="937" spans="2:6">
      <c r="B937" s="193"/>
      <c r="C937" s="193"/>
      <c r="D937" s="194"/>
      <c r="E937" s="194"/>
      <c r="F937" s="196"/>
    </row>
    <row r="938" spans="2:6">
      <c r="B938" s="193"/>
      <c r="C938" s="193"/>
      <c r="D938" s="194"/>
      <c r="E938" s="194"/>
      <c r="F938" s="196"/>
    </row>
    <row r="939" spans="2:6">
      <c r="B939" s="193"/>
      <c r="C939" s="193"/>
      <c r="D939" s="194"/>
      <c r="E939" s="194"/>
      <c r="F939" s="196"/>
    </row>
    <row r="940" spans="2:6">
      <c r="B940" s="193"/>
      <c r="C940" s="193"/>
      <c r="D940" s="194"/>
      <c r="E940" s="194"/>
      <c r="F940" s="196"/>
    </row>
    <row r="941" spans="2:6">
      <c r="B941" s="193"/>
      <c r="C941" s="193"/>
      <c r="D941" s="194"/>
      <c r="E941" s="194"/>
      <c r="F941" s="196"/>
    </row>
    <row r="942" spans="2:6">
      <c r="B942" s="193"/>
      <c r="C942" s="193"/>
      <c r="D942" s="194"/>
      <c r="E942" s="194"/>
      <c r="F942" s="196"/>
    </row>
    <row r="943" spans="2:6">
      <c r="B943" s="193"/>
      <c r="C943" s="193"/>
      <c r="D943" s="194"/>
      <c r="E943" s="194"/>
      <c r="F943" s="196"/>
    </row>
    <row r="944" spans="2:6">
      <c r="B944" s="193"/>
      <c r="C944" s="193"/>
      <c r="D944" s="194"/>
      <c r="E944" s="194"/>
      <c r="F944" s="196"/>
    </row>
    <row r="945" spans="2:6">
      <c r="B945" s="193"/>
      <c r="C945" s="193"/>
      <c r="D945" s="194"/>
      <c r="E945" s="194"/>
      <c r="F945" s="196"/>
    </row>
    <row r="946" spans="2:6">
      <c r="B946" s="193"/>
      <c r="C946" s="193"/>
      <c r="D946" s="194"/>
      <c r="E946" s="194"/>
      <c r="F946" s="196"/>
    </row>
    <row r="947" spans="2:6">
      <c r="B947" s="193"/>
      <c r="C947" s="193"/>
      <c r="D947" s="194"/>
      <c r="E947" s="194"/>
      <c r="F947" s="196"/>
    </row>
    <row r="948" spans="2:6">
      <c r="B948" s="193"/>
      <c r="C948" s="193"/>
      <c r="D948" s="194"/>
      <c r="E948" s="194"/>
      <c r="F948" s="196"/>
    </row>
    <row r="949" spans="2:6">
      <c r="B949" s="193"/>
      <c r="C949" s="193"/>
      <c r="D949" s="194"/>
      <c r="E949" s="194"/>
      <c r="F949" s="196"/>
    </row>
    <row r="950" spans="2:6">
      <c r="B950" s="193"/>
      <c r="C950" s="193"/>
      <c r="D950" s="194"/>
      <c r="E950" s="194"/>
      <c r="F950" s="196"/>
    </row>
    <row r="951" spans="2:6">
      <c r="B951" s="193"/>
      <c r="C951" s="193"/>
      <c r="D951" s="194"/>
      <c r="E951" s="194"/>
      <c r="F951" s="196"/>
    </row>
    <row r="952" spans="2:6">
      <c r="B952" s="193"/>
      <c r="C952" s="193"/>
      <c r="D952" s="194"/>
      <c r="E952" s="194"/>
      <c r="F952" s="196"/>
    </row>
    <row r="953" spans="2:6">
      <c r="B953" s="193"/>
      <c r="C953" s="193"/>
      <c r="D953" s="194"/>
      <c r="E953" s="194"/>
      <c r="F953" s="196"/>
    </row>
    <row r="954" spans="2:6">
      <c r="B954" s="193"/>
      <c r="C954" s="193"/>
      <c r="D954" s="194"/>
      <c r="E954" s="194"/>
      <c r="F954" s="196"/>
    </row>
    <row r="955" spans="2:6">
      <c r="B955" s="193"/>
      <c r="C955" s="193"/>
      <c r="D955" s="194"/>
      <c r="E955" s="194"/>
      <c r="F955" s="196"/>
    </row>
    <row r="956" spans="2:6">
      <c r="B956" s="193"/>
      <c r="C956" s="193"/>
      <c r="D956" s="194"/>
      <c r="E956" s="194"/>
      <c r="F956" s="196"/>
    </row>
    <row r="957" spans="2:6">
      <c r="B957" s="193"/>
      <c r="C957" s="193"/>
      <c r="D957" s="194"/>
      <c r="E957" s="194"/>
      <c r="F957" s="196"/>
    </row>
    <row r="958" spans="2:6">
      <c r="B958" s="193"/>
      <c r="C958" s="193"/>
      <c r="D958" s="194"/>
      <c r="E958" s="194"/>
      <c r="F958" s="196"/>
    </row>
    <row r="959" spans="2:6">
      <c r="B959" s="193"/>
      <c r="C959" s="193"/>
      <c r="D959" s="194"/>
      <c r="E959" s="194"/>
      <c r="F959" s="196"/>
    </row>
    <row r="960" spans="2:6">
      <c r="B960" s="193"/>
      <c r="C960" s="193"/>
      <c r="D960" s="194"/>
      <c r="E960" s="194"/>
      <c r="F960" s="196"/>
    </row>
    <row r="961" spans="2:6">
      <c r="B961" s="193"/>
      <c r="C961" s="193"/>
      <c r="D961" s="194"/>
      <c r="E961" s="194"/>
      <c r="F961" s="196"/>
    </row>
    <row r="962" spans="2:6">
      <c r="B962" s="193"/>
      <c r="C962" s="193"/>
      <c r="D962" s="194"/>
      <c r="E962" s="194"/>
      <c r="F962" s="196"/>
    </row>
    <row r="963" spans="2:6">
      <c r="B963" s="193"/>
      <c r="C963" s="193"/>
      <c r="D963" s="194"/>
      <c r="E963" s="194"/>
      <c r="F963" s="196"/>
    </row>
    <row r="964" spans="2:6">
      <c r="B964" s="193"/>
      <c r="C964" s="193"/>
      <c r="D964" s="194"/>
      <c r="E964" s="194"/>
      <c r="F964" s="196"/>
    </row>
    <row r="965" spans="2:6">
      <c r="B965" s="193"/>
      <c r="C965" s="193"/>
      <c r="D965" s="194"/>
      <c r="E965" s="194"/>
      <c r="F965" s="196"/>
    </row>
    <row r="966" spans="2:6">
      <c r="B966" s="193"/>
      <c r="C966" s="193"/>
      <c r="D966" s="194"/>
      <c r="E966" s="194"/>
      <c r="F966" s="196"/>
    </row>
    <row r="967" spans="2:6">
      <c r="B967" s="193"/>
      <c r="C967" s="193"/>
      <c r="D967" s="194"/>
      <c r="E967" s="194"/>
      <c r="F967" s="196"/>
    </row>
    <row r="968" spans="2:6">
      <c r="B968" s="193"/>
      <c r="C968" s="193"/>
      <c r="D968" s="194"/>
      <c r="E968" s="194"/>
      <c r="F968" s="196"/>
    </row>
    <row r="969" spans="2:6">
      <c r="B969" s="193"/>
      <c r="C969" s="193"/>
      <c r="D969" s="194"/>
      <c r="E969" s="194"/>
      <c r="F969" s="196"/>
    </row>
    <row r="970" spans="2:6">
      <c r="B970" s="193"/>
      <c r="C970" s="193"/>
      <c r="D970" s="194"/>
      <c r="E970" s="194"/>
      <c r="F970" s="196"/>
    </row>
    <row r="971" spans="2:6">
      <c r="B971" s="193"/>
      <c r="C971" s="193"/>
      <c r="D971" s="194"/>
      <c r="E971" s="194"/>
      <c r="F971" s="196"/>
    </row>
    <row r="972" spans="2:6">
      <c r="B972" s="193"/>
      <c r="C972" s="193"/>
      <c r="D972" s="194"/>
      <c r="E972" s="194"/>
      <c r="F972" s="196"/>
    </row>
    <row r="973" spans="2:6">
      <c r="B973" s="193"/>
      <c r="C973" s="193"/>
      <c r="D973" s="194"/>
      <c r="E973" s="194"/>
      <c r="F973" s="196"/>
    </row>
    <row r="974" spans="2:6">
      <c r="B974" s="193"/>
      <c r="C974" s="193"/>
      <c r="D974" s="194"/>
      <c r="E974" s="194"/>
      <c r="F974" s="196"/>
    </row>
    <row r="975" spans="2:6">
      <c r="B975" s="193"/>
      <c r="C975" s="193"/>
      <c r="D975" s="194"/>
      <c r="E975" s="194"/>
      <c r="F975" s="196"/>
    </row>
    <row r="976" spans="2:6">
      <c r="B976" s="193"/>
      <c r="C976" s="193"/>
      <c r="D976" s="194"/>
      <c r="E976" s="194"/>
      <c r="F976" s="196"/>
    </row>
    <row r="977" spans="2:6">
      <c r="B977" s="193"/>
      <c r="C977" s="193"/>
      <c r="D977" s="194"/>
      <c r="E977" s="194"/>
      <c r="F977" s="196"/>
    </row>
    <row r="978" spans="2:6">
      <c r="B978" s="193"/>
      <c r="C978" s="193"/>
      <c r="D978" s="194"/>
      <c r="E978" s="194"/>
      <c r="F978" s="196"/>
    </row>
    <row r="979" spans="2:6">
      <c r="B979" s="193"/>
      <c r="C979" s="193"/>
      <c r="D979" s="194"/>
      <c r="E979" s="194"/>
      <c r="F979" s="196"/>
    </row>
    <row r="980" spans="2:6">
      <c r="B980" s="193"/>
      <c r="C980" s="193"/>
      <c r="D980" s="194"/>
      <c r="E980" s="194"/>
      <c r="F980" s="196"/>
    </row>
    <row r="981" spans="2:6">
      <c r="B981" s="193"/>
      <c r="C981" s="193"/>
      <c r="D981" s="194"/>
      <c r="E981" s="194"/>
      <c r="F981" s="196"/>
    </row>
    <row r="982" spans="2:6">
      <c r="B982" s="193"/>
      <c r="C982" s="193"/>
      <c r="D982" s="194"/>
      <c r="E982" s="194"/>
      <c r="F982" s="196"/>
    </row>
    <row r="983" spans="2:6">
      <c r="B983" s="193"/>
      <c r="C983" s="193"/>
      <c r="D983" s="194"/>
      <c r="E983" s="194"/>
      <c r="F983" s="196"/>
    </row>
    <row r="984" spans="2:6">
      <c r="B984" s="193"/>
      <c r="C984" s="193"/>
      <c r="D984" s="194"/>
      <c r="E984" s="194"/>
      <c r="F984" s="196"/>
    </row>
    <row r="985" spans="2:6">
      <c r="B985" s="193"/>
      <c r="C985" s="193"/>
      <c r="D985" s="194"/>
      <c r="E985" s="194"/>
      <c r="F985" s="196"/>
    </row>
    <row r="986" spans="2:6">
      <c r="B986" s="193"/>
      <c r="C986" s="193"/>
      <c r="D986" s="194"/>
      <c r="E986" s="194"/>
      <c r="F986" s="196"/>
    </row>
    <row r="987" spans="2:6">
      <c r="B987" s="193"/>
      <c r="C987" s="193"/>
      <c r="D987" s="194"/>
      <c r="E987" s="194"/>
      <c r="F987" s="196"/>
    </row>
    <row r="988" spans="2:6">
      <c r="B988" s="193"/>
      <c r="C988" s="193"/>
      <c r="D988" s="194"/>
      <c r="E988" s="194"/>
      <c r="F988" s="196"/>
    </row>
    <row r="989" spans="2:6">
      <c r="B989" s="193"/>
      <c r="C989" s="193"/>
      <c r="D989" s="194"/>
      <c r="E989" s="194"/>
      <c r="F989" s="196"/>
    </row>
    <row r="990" spans="2:6">
      <c r="B990" s="193"/>
      <c r="C990" s="193"/>
      <c r="D990" s="194"/>
      <c r="E990" s="194"/>
      <c r="F990" s="196"/>
    </row>
    <row r="991" spans="2:6">
      <c r="B991" s="193"/>
      <c r="C991" s="193"/>
      <c r="D991" s="194"/>
      <c r="E991" s="194"/>
      <c r="F991" s="196"/>
    </row>
    <row r="992" spans="2:6">
      <c r="B992" s="193"/>
      <c r="C992" s="193"/>
      <c r="D992" s="194"/>
      <c r="E992" s="194"/>
      <c r="F992" s="196"/>
    </row>
    <row r="993" spans="2:6">
      <c r="B993" s="193"/>
      <c r="C993" s="193"/>
      <c r="D993" s="194"/>
      <c r="E993" s="194"/>
      <c r="F993" s="196"/>
    </row>
    <row r="994" spans="2:6">
      <c r="B994" s="193"/>
      <c r="C994" s="193"/>
      <c r="D994" s="194"/>
      <c r="E994" s="194"/>
      <c r="F994" s="196"/>
    </row>
    <row r="995" spans="2:6">
      <c r="B995" s="193"/>
      <c r="C995" s="193"/>
      <c r="D995" s="194"/>
      <c r="E995" s="194"/>
      <c r="F995" s="196"/>
    </row>
    <row r="996" spans="2:6">
      <c r="B996" s="193"/>
      <c r="C996" s="193"/>
      <c r="D996" s="194"/>
      <c r="E996" s="194"/>
      <c r="F996" s="196"/>
    </row>
    <row r="997" spans="2:6">
      <c r="B997" s="193"/>
      <c r="C997" s="193"/>
      <c r="D997" s="194"/>
      <c r="E997" s="194"/>
      <c r="F997" s="196"/>
    </row>
    <row r="998" spans="2:6">
      <c r="B998" s="193"/>
      <c r="C998" s="193"/>
      <c r="D998" s="194"/>
      <c r="E998" s="194"/>
      <c r="F998" s="196"/>
    </row>
    <row r="999" spans="2:6">
      <c r="B999" s="193"/>
      <c r="C999" s="193"/>
      <c r="D999" s="194"/>
      <c r="E999" s="194"/>
      <c r="F999" s="196"/>
    </row>
    <row r="1000" spans="2:6">
      <c r="B1000" s="193"/>
      <c r="C1000" s="193"/>
      <c r="D1000" s="194"/>
      <c r="E1000" s="194"/>
      <c r="F1000" s="196"/>
    </row>
    <row r="1001" spans="2:6">
      <c r="B1001" s="193"/>
      <c r="C1001" s="193"/>
      <c r="D1001" s="194"/>
      <c r="E1001" s="194"/>
      <c r="F1001" s="196"/>
    </row>
    <row r="1002" spans="2:6">
      <c r="B1002" s="193"/>
      <c r="C1002" s="193"/>
      <c r="D1002" s="194"/>
      <c r="E1002" s="194"/>
      <c r="F1002" s="196"/>
    </row>
    <row r="1003" spans="2:6">
      <c r="B1003" s="193"/>
      <c r="C1003" s="193"/>
      <c r="D1003" s="194"/>
      <c r="E1003" s="194"/>
      <c r="F1003" s="196"/>
    </row>
    <row r="1004" spans="2:6">
      <c r="B1004" s="193"/>
      <c r="C1004" s="193"/>
      <c r="D1004" s="194"/>
      <c r="E1004" s="194"/>
      <c r="F1004" s="196"/>
    </row>
  </sheetData>
  <protectedRanges>
    <protectedRange sqref="B5:F1004" name="Range4"/>
  </protectedRanges>
  <mergeCells count="6">
    <mergeCell ref="B2:F2"/>
    <mergeCell ref="B3:B4"/>
    <mergeCell ref="D3:D4"/>
    <mergeCell ref="E3:E4"/>
    <mergeCell ref="F3:F4"/>
    <mergeCell ref="C3:C4"/>
  </mergeCells>
  <dataValidations count="3">
    <dataValidation type="list" allowBlank="1" showInputMessage="1" showErrorMessage="1" sqref="E5:E1004" xr:uid="{8E8A03C9-2F25-41D4-919A-FBA41BAE5CA7}">
      <formula1>$AQ1089:$EL1089</formula1>
    </dataValidation>
    <dataValidation type="list" allowBlank="1" showInputMessage="1" showErrorMessage="1" sqref="D5:D1004" xr:uid="{DA5A329E-5893-4946-AAF9-33F856F2285A}">
      <formula1>"Income, Fixed Expense, Variable Expense, Loan Repayment, Savings, Investment"</formula1>
    </dataValidation>
    <dataValidation type="date" allowBlank="1" showInputMessage="1" showErrorMessage="1" sqref="B5:C1004" xr:uid="{DAE51934-E537-4189-B3E8-498CD3C2E017}">
      <formula1>36526</formula1>
      <formula2>73051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3E13-BD5E-4153-A8A8-3ED3E4EA69A5}">
  <dimension ref="A2:AJ130"/>
  <sheetViews>
    <sheetView zoomScale="55" zoomScaleNormal="55" workbookViewId="0">
      <selection activeCell="B7" sqref="B7"/>
    </sheetView>
  </sheetViews>
  <sheetFormatPr defaultRowHeight="14.5"/>
  <cols>
    <col min="1" max="1" width="3.7265625" style="110" customWidth="1"/>
    <col min="2" max="2" width="21.7265625" style="110" customWidth="1"/>
    <col min="3" max="5" width="9.7265625" style="110"/>
    <col min="6" max="6" width="3.7265625" style="110" customWidth="1"/>
    <col min="7" max="7" width="21.7265625" style="110" customWidth="1"/>
    <col min="8" max="10" width="8.7265625" style="110"/>
    <col min="11" max="11" width="3.7265625" style="110" customWidth="1"/>
    <col min="12" max="12" width="21.7265625" style="110" customWidth="1"/>
    <col min="13" max="15" width="9.7265625" style="110"/>
    <col min="16" max="16" width="3.7265625" style="110" customWidth="1"/>
    <col min="17" max="17" width="21.7265625" style="110" customWidth="1"/>
    <col min="18" max="20" width="9.7265625" style="110"/>
    <col min="21" max="21" width="3.7265625" style="110" customWidth="1"/>
    <col min="22" max="22" width="21.7265625" style="110" customWidth="1"/>
    <col min="23" max="25" width="9.7265625" style="110"/>
    <col min="26" max="26" width="3.7265625" style="110" customWidth="1"/>
    <col min="27" max="27" width="21.7265625" style="110" customWidth="1"/>
    <col min="28" max="30" width="9.7265625" style="110"/>
    <col min="31" max="31" width="3.7265625" style="110" customWidth="1"/>
    <col min="32" max="32" width="21.7265625" style="110" customWidth="1"/>
    <col min="33" max="35" width="9.7265625" style="110"/>
    <col min="36" max="36" width="3.7265625" style="110" customWidth="1"/>
  </cols>
  <sheetData>
    <row r="2" spans="2:35">
      <c r="B2" s="111" t="str">
        <f>"Budget"</f>
        <v>Budget</v>
      </c>
      <c r="C2" s="111"/>
      <c r="D2" s="111"/>
      <c r="E2" s="111"/>
      <c r="G2" s="112" t="s">
        <v>134</v>
      </c>
      <c r="H2" s="112"/>
      <c r="I2" s="112"/>
      <c r="J2" s="112"/>
      <c r="L2" s="112" t="s">
        <v>106</v>
      </c>
      <c r="M2" s="112"/>
      <c r="N2" s="112"/>
      <c r="O2" s="112"/>
      <c r="Q2" s="112" t="s">
        <v>107</v>
      </c>
      <c r="R2" s="112"/>
      <c r="S2" s="112"/>
      <c r="T2" s="112"/>
      <c r="V2" s="112" t="s">
        <v>108</v>
      </c>
      <c r="W2" s="112"/>
      <c r="X2" s="112"/>
      <c r="Y2" s="112"/>
      <c r="AA2" s="112" t="s">
        <v>109</v>
      </c>
      <c r="AB2" s="112"/>
      <c r="AC2" s="112"/>
      <c r="AD2" s="112"/>
      <c r="AE2" s="112"/>
      <c r="AF2" s="112"/>
      <c r="AG2" s="112"/>
      <c r="AH2" s="112"/>
      <c r="AI2" s="112"/>
    </row>
    <row r="3" spans="2:35">
      <c r="B3" s="111"/>
      <c r="C3" s="111"/>
      <c r="D3" s="111"/>
      <c r="E3" s="111"/>
      <c r="G3" s="113"/>
      <c r="H3" s="114"/>
      <c r="I3" s="115"/>
      <c r="J3" s="115"/>
      <c r="L3" s="113" t="s">
        <v>128</v>
      </c>
      <c r="M3" s="114"/>
      <c r="N3" s="115" t="str">
        <f>'[1]Start Here'!$H$17&amp;TEXT(C130-SUM(M130,R130,W130,AB130,AG130),"#,##0")</f>
        <v>$0</v>
      </c>
      <c r="O3" s="115"/>
      <c r="Q3" s="116"/>
      <c r="R3" s="117" t="s">
        <v>110</v>
      </c>
      <c r="S3" s="117" t="s">
        <v>111</v>
      </c>
      <c r="T3" s="117" t="s">
        <v>112</v>
      </c>
      <c r="V3" s="114"/>
      <c r="W3" s="114"/>
      <c r="X3" s="114"/>
      <c r="Y3" s="114"/>
      <c r="AA3" s="118" t="s">
        <v>113</v>
      </c>
      <c r="AB3" s="118"/>
      <c r="AC3" s="118"/>
      <c r="AD3" s="118"/>
      <c r="AE3" s="119"/>
      <c r="AF3" s="118" t="s">
        <v>114</v>
      </c>
      <c r="AG3" s="118"/>
      <c r="AH3" s="118"/>
      <c r="AI3" s="118"/>
    </row>
    <row r="4" spans="2:35">
      <c r="B4" s="111"/>
      <c r="C4" s="111"/>
      <c r="D4" s="111"/>
      <c r="E4" s="111"/>
      <c r="G4" s="114"/>
      <c r="H4" s="114"/>
      <c r="I4" s="115"/>
      <c r="J4" s="115"/>
      <c r="L4" s="114"/>
      <c r="M4" s="114"/>
      <c r="N4" s="115"/>
      <c r="O4" s="115"/>
      <c r="Q4" s="120" t="s">
        <v>115</v>
      </c>
      <c r="R4" s="121" t="str">
        <f>B17</f>
        <v>$0</v>
      </c>
      <c r="S4" s="121" t="str">
        <f>B20</f>
        <v>$0</v>
      </c>
      <c r="T4" s="122" t="str">
        <f>IF(E130&gt;=0,'[1]Start Here'!$H$25&amp;TEXT(E130,"#,##0"),'[1]Start Here'!$H$25&amp;TEXT(E130*-1,"#,##0"))</f>
        <v>0</v>
      </c>
      <c r="V4" s="114"/>
      <c r="W4" s="114"/>
      <c r="X4" s="114"/>
      <c r="Y4" s="114"/>
      <c r="AA4" s="119"/>
      <c r="AB4" s="119"/>
      <c r="AC4" s="119"/>
      <c r="AD4" s="119"/>
      <c r="AE4" s="119"/>
      <c r="AF4" s="119"/>
      <c r="AG4" s="119"/>
      <c r="AH4" s="119"/>
      <c r="AI4" s="119"/>
    </row>
    <row r="5" spans="2:35">
      <c r="G5" s="114"/>
      <c r="H5" s="114"/>
      <c r="I5" s="115"/>
      <c r="J5" s="115"/>
      <c r="L5" s="114"/>
      <c r="M5" s="114"/>
      <c r="N5" s="115"/>
      <c r="O5" s="115"/>
      <c r="Q5" s="120"/>
      <c r="R5" s="121"/>
      <c r="S5" s="121"/>
      <c r="T5" s="122"/>
      <c r="V5" s="114"/>
      <c r="W5" s="114"/>
      <c r="X5" s="114"/>
      <c r="Y5" s="114"/>
      <c r="AA5" s="119"/>
      <c r="AB5" s="119"/>
      <c r="AC5" s="119"/>
      <c r="AD5" s="119"/>
      <c r="AE5" s="119"/>
      <c r="AF5" s="119"/>
      <c r="AG5" s="119"/>
      <c r="AH5" s="119"/>
      <c r="AI5" s="119"/>
    </row>
    <row r="6" spans="2:35">
      <c r="B6" s="112" t="s">
        <v>116</v>
      </c>
      <c r="C6" s="112"/>
      <c r="D6" s="112"/>
      <c r="E6" s="112"/>
      <c r="G6" s="114"/>
      <c r="H6" s="114"/>
      <c r="I6" s="115"/>
      <c r="J6" s="115"/>
      <c r="L6" s="114"/>
      <c r="M6" s="114"/>
      <c r="N6" s="115"/>
      <c r="O6" s="115"/>
      <c r="Q6" s="123" t="s">
        <v>129</v>
      </c>
      <c r="R6" s="122" t="str">
        <f>'[1]Start Here'!$H$17&amp;TEXT(SUM(M130,R130,W130,AB130,AG130),"#,##0")</f>
        <v>$0</v>
      </c>
      <c r="S6" s="122" t="str">
        <f>'[1]Start Here'!$H$17&amp;TEXT(SUM(N130,S130,X130,AC130,AH130),"#,##0")</f>
        <v>$0</v>
      </c>
      <c r="T6" s="122" t="str">
        <f>'[1]Start Here'!$H$17&amp;TEXT(SUM(N130,S130,X130,AC130,AH130)-SUM(M130,R130,W130,AB130,AG130),"#,##0")</f>
        <v>$0</v>
      </c>
      <c r="V6" s="114"/>
      <c r="W6" s="114"/>
      <c r="X6" s="114"/>
      <c r="Y6" s="114"/>
      <c r="AA6" s="119"/>
      <c r="AB6" s="119"/>
      <c r="AC6" s="119"/>
      <c r="AD6" s="119"/>
      <c r="AE6" s="119"/>
      <c r="AF6" s="119"/>
      <c r="AG6" s="119"/>
      <c r="AH6" s="119"/>
      <c r="AI6" s="119"/>
    </row>
    <row r="7" spans="2:35">
      <c r="B7" s="124" t="s">
        <v>117</v>
      </c>
      <c r="C7" s="125">
        <v>45717</v>
      </c>
      <c r="D7" s="114"/>
      <c r="E7" s="114"/>
      <c r="G7" s="114"/>
      <c r="H7" s="114"/>
      <c r="I7" s="115"/>
      <c r="J7" s="115"/>
      <c r="L7" s="114"/>
      <c r="M7" s="114"/>
      <c r="N7" s="115"/>
      <c r="O7" s="115"/>
      <c r="Q7" s="123"/>
      <c r="R7" s="122"/>
      <c r="S7" s="122"/>
      <c r="T7" s="122"/>
      <c r="V7" s="114"/>
      <c r="W7" s="114"/>
      <c r="X7" s="114"/>
      <c r="Y7" s="114"/>
      <c r="AA7" s="119"/>
      <c r="AB7" s="119"/>
      <c r="AC7" s="119"/>
      <c r="AD7" s="119"/>
      <c r="AE7" s="119"/>
      <c r="AF7" s="119"/>
      <c r="AG7" s="119"/>
      <c r="AH7" s="119"/>
      <c r="AI7" s="119"/>
    </row>
    <row r="8" spans="2:35">
      <c r="B8" s="124" t="s">
        <v>118</v>
      </c>
      <c r="C8" s="125">
        <v>45747</v>
      </c>
      <c r="D8" s="114"/>
      <c r="E8" s="114"/>
      <c r="G8" s="116"/>
      <c r="H8" s="119"/>
      <c r="I8" s="200"/>
      <c r="J8" s="200"/>
      <c r="L8" s="113" t="s">
        <v>130</v>
      </c>
      <c r="M8" s="114"/>
      <c r="N8" s="112" t="str">
        <f>'[1]Start Here'!$H$17&amp;TEXT(D130-SUM(N130,S130,X130,AC130,AH130),"#,##0")</f>
        <v>$0</v>
      </c>
      <c r="O8" s="112"/>
      <c r="Q8" s="126" t="s">
        <v>131</v>
      </c>
      <c r="R8" s="127" t="str">
        <f>'[1]Start Here'!$H$17&amp;TEXT(C130-SUM(M130,R130,W130,AB130,AG130),"#,##0")</f>
        <v>$0</v>
      </c>
      <c r="S8" s="127" t="str">
        <f>'[1]Start Here'!$H$17&amp;TEXT(D130-SUM(N130,S130,X130,AC130,AH130),"#,##0")</f>
        <v>$0</v>
      </c>
      <c r="T8" s="127" t="str">
        <f>'[1]Start Here'!$H$17&amp;TEXT((D130-SUM(N130,S130,X130,AC130,AH130))-(C130-SUM(M130,R130,W130,AB130,AG130)),"#,##0")</f>
        <v>$0</v>
      </c>
      <c r="V8" s="114"/>
      <c r="W8" s="114"/>
      <c r="X8" s="114"/>
      <c r="Y8" s="114"/>
      <c r="AA8" s="119"/>
      <c r="AB8" s="119"/>
      <c r="AC8" s="119"/>
      <c r="AD8" s="119"/>
      <c r="AE8" s="119"/>
      <c r="AF8" s="119"/>
      <c r="AG8" s="119"/>
      <c r="AH8" s="119"/>
      <c r="AI8" s="119"/>
    </row>
    <row r="9" spans="2:35">
      <c r="B9" s="128" t="str">
        <f>"Selected budget period is "&amp;_xlfn.DAYS(C8,C7)&amp;" days long"</f>
        <v>Selected budget period is 30 days long</v>
      </c>
      <c r="C9" s="128"/>
      <c r="D9" s="128"/>
      <c r="E9" s="128"/>
      <c r="G9" s="119"/>
      <c r="H9" s="119"/>
      <c r="I9" s="200"/>
      <c r="J9" s="200"/>
      <c r="L9" s="114"/>
      <c r="M9" s="114"/>
      <c r="N9" s="112"/>
      <c r="O9" s="112"/>
      <c r="Q9" s="126"/>
      <c r="R9" s="127"/>
      <c r="S9" s="127"/>
      <c r="T9" s="127"/>
      <c r="V9" s="114"/>
      <c r="W9" s="114"/>
      <c r="X9" s="114"/>
      <c r="Y9" s="114"/>
      <c r="AA9" s="119"/>
      <c r="AB9" s="119"/>
      <c r="AC9" s="119"/>
      <c r="AD9" s="119"/>
      <c r="AE9" s="119"/>
      <c r="AF9" s="119"/>
      <c r="AG9" s="119"/>
      <c r="AH9" s="119"/>
      <c r="AI9" s="119"/>
    </row>
    <row r="10" spans="2:35">
      <c r="B10" s="128"/>
      <c r="C10" s="128"/>
      <c r="D10" s="128"/>
      <c r="E10" s="128"/>
      <c r="G10" s="119"/>
      <c r="H10" s="119"/>
      <c r="I10" s="200"/>
      <c r="J10" s="200"/>
      <c r="L10" s="114"/>
      <c r="M10" s="114"/>
      <c r="N10" s="112"/>
      <c r="O10" s="112"/>
      <c r="Q10" s="126"/>
      <c r="R10" s="127"/>
      <c r="S10" s="127"/>
      <c r="T10" s="127"/>
      <c r="V10" s="114"/>
      <c r="W10" s="114"/>
      <c r="X10" s="114"/>
      <c r="Y10" s="114"/>
      <c r="AA10" s="119"/>
      <c r="AB10" s="119"/>
      <c r="AC10" s="119"/>
      <c r="AD10" s="119"/>
      <c r="AE10" s="119"/>
      <c r="AF10" s="119"/>
      <c r="AG10" s="119"/>
      <c r="AH10" s="119"/>
      <c r="AI10" s="119"/>
    </row>
    <row r="11" spans="2:35">
      <c r="B11" s="119"/>
      <c r="C11" s="119"/>
      <c r="D11" s="119"/>
      <c r="E11" s="119"/>
      <c r="G11" s="119"/>
      <c r="H11" s="119"/>
      <c r="I11" s="200"/>
      <c r="J11" s="200"/>
      <c r="L11" s="114"/>
      <c r="M11" s="114"/>
      <c r="N11" s="112"/>
      <c r="O11" s="112"/>
      <c r="Q11" s="123" t="s">
        <v>132</v>
      </c>
      <c r="R11" s="129" t="e">
        <f>AB130/C130</f>
        <v>#DIV/0!</v>
      </c>
      <c r="S11" s="129" t="e">
        <f>AC130/D130</f>
        <v>#DIV/0!</v>
      </c>
      <c r="T11" s="129" t="e">
        <f>S11-R11</f>
        <v>#DIV/0!</v>
      </c>
      <c r="V11" s="114"/>
      <c r="W11" s="114"/>
      <c r="X11" s="114"/>
      <c r="Y11" s="114"/>
      <c r="AA11" s="119"/>
      <c r="AB11" s="119"/>
      <c r="AC11" s="119"/>
      <c r="AD11" s="119"/>
      <c r="AE11" s="119"/>
      <c r="AF11" s="119"/>
      <c r="AG11" s="119"/>
      <c r="AH11" s="119"/>
      <c r="AI11" s="119"/>
    </row>
    <row r="12" spans="2:35">
      <c r="B12" s="128" t="e">
        <f>TEXT(AU1072/AU1073,"#%")&amp;" complete ("&amp;IF(AU1071=1,AU1071&amp;" day remaining)",AU1071&amp;" days remaining)")</f>
        <v>#DIV/0!</v>
      </c>
      <c r="C12" s="128"/>
      <c r="D12" s="128"/>
      <c r="E12" s="128"/>
      <c r="G12" s="201" t="s">
        <v>142</v>
      </c>
      <c r="H12" s="119"/>
      <c r="I12" s="200"/>
      <c r="J12" s="200"/>
      <c r="L12" s="114"/>
      <c r="M12" s="114"/>
      <c r="N12" s="112"/>
      <c r="O12" s="112"/>
      <c r="Q12" s="123"/>
      <c r="R12" s="129"/>
      <c r="S12" s="129"/>
      <c r="T12" s="129"/>
      <c r="V12" s="114"/>
      <c r="W12" s="114"/>
      <c r="X12" s="114"/>
      <c r="Y12" s="114"/>
      <c r="AA12" s="119"/>
      <c r="AB12" s="119"/>
      <c r="AC12" s="119"/>
      <c r="AD12" s="119"/>
      <c r="AE12" s="119"/>
      <c r="AF12" s="119"/>
      <c r="AG12" s="119"/>
      <c r="AH12" s="119"/>
      <c r="AI12" s="119"/>
    </row>
    <row r="13" spans="2:35">
      <c r="B13" s="128"/>
      <c r="C13" s="128"/>
      <c r="D13" s="128"/>
      <c r="E13" s="128"/>
      <c r="G13" s="201"/>
      <c r="H13" s="119"/>
      <c r="I13" s="119"/>
      <c r="J13" s="119"/>
      <c r="L13" s="119"/>
      <c r="M13" s="119"/>
      <c r="N13" s="119"/>
      <c r="O13" s="119"/>
      <c r="Q13" s="123"/>
      <c r="R13" s="129"/>
      <c r="S13" s="129"/>
      <c r="T13" s="129"/>
      <c r="V13" s="114"/>
      <c r="W13" s="114"/>
      <c r="X13" s="114"/>
      <c r="Y13" s="114"/>
      <c r="AA13" s="119"/>
      <c r="AB13" s="119"/>
      <c r="AC13" s="119"/>
      <c r="AD13" s="119"/>
      <c r="AE13" s="119"/>
      <c r="AF13" s="119"/>
      <c r="AG13" s="119"/>
      <c r="AH13" s="119"/>
      <c r="AI13" s="119"/>
    </row>
    <row r="15" spans="2:35">
      <c r="B15" s="178" t="s">
        <v>115</v>
      </c>
      <c r="C15" s="178"/>
      <c r="D15" s="178"/>
      <c r="E15" s="178"/>
      <c r="F15" s="130"/>
      <c r="G15" s="181" t="s">
        <v>133</v>
      </c>
      <c r="H15" s="181"/>
      <c r="I15" s="181"/>
      <c r="J15" s="181"/>
      <c r="K15" s="130"/>
      <c r="L15" s="131" t="s">
        <v>119</v>
      </c>
      <c r="M15" s="131"/>
      <c r="N15" s="131"/>
      <c r="O15" s="131"/>
      <c r="P15" s="130"/>
      <c r="Q15" s="132" t="s">
        <v>120</v>
      </c>
      <c r="R15" s="132"/>
      <c r="S15" s="132"/>
      <c r="T15" s="132"/>
      <c r="U15" s="130"/>
      <c r="V15" s="133" t="s">
        <v>121</v>
      </c>
      <c r="W15" s="133"/>
      <c r="X15" s="133"/>
      <c r="Y15" s="133"/>
      <c r="Z15" s="130"/>
      <c r="AA15" s="134" t="s">
        <v>122</v>
      </c>
      <c r="AB15" s="134"/>
      <c r="AC15" s="134"/>
      <c r="AD15" s="134"/>
      <c r="AE15" s="130"/>
      <c r="AF15" s="135" t="s">
        <v>123</v>
      </c>
      <c r="AG15" s="135"/>
      <c r="AH15" s="135"/>
      <c r="AI15" s="135"/>
    </row>
    <row r="16" spans="2:35">
      <c r="B16" s="178"/>
      <c r="C16" s="178"/>
      <c r="D16" s="178"/>
      <c r="E16" s="178"/>
      <c r="F16" s="130"/>
      <c r="G16" s="181"/>
      <c r="H16" s="181"/>
      <c r="I16" s="181"/>
      <c r="J16" s="181"/>
      <c r="K16" s="130"/>
      <c r="L16" s="131"/>
      <c r="M16" s="131"/>
      <c r="N16" s="131"/>
      <c r="O16" s="131"/>
      <c r="P16" s="130"/>
      <c r="Q16" s="132"/>
      <c r="R16" s="132"/>
      <c r="S16" s="132"/>
      <c r="T16" s="132"/>
      <c r="U16" s="130"/>
      <c r="V16" s="133"/>
      <c r="W16" s="133"/>
      <c r="X16" s="133"/>
      <c r="Y16" s="133"/>
      <c r="Z16" s="130"/>
      <c r="AA16" s="134"/>
      <c r="AB16" s="134"/>
      <c r="AC16" s="134"/>
      <c r="AD16" s="134"/>
      <c r="AE16" s="130"/>
      <c r="AF16" s="135"/>
      <c r="AG16" s="135"/>
      <c r="AH16" s="135"/>
      <c r="AI16" s="135"/>
    </row>
    <row r="17" spans="2:35">
      <c r="B17" s="136" t="str">
        <f>'[1]Start Here'!$H$17&amp;TEXT(C130,"#,##0")</f>
        <v>$0</v>
      </c>
      <c r="C17" s="137"/>
      <c r="D17" s="137"/>
      <c r="E17" s="137"/>
      <c r="G17" s="136" t="str">
        <f>'[1]Start Here'!$H$17&amp;TEXT(H130,"#,##0")</f>
        <v>$0</v>
      </c>
      <c r="H17" s="137"/>
      <c r="I17" s="137"/>
      <c r="J17" s="137"/>
      <c r="L17" s="136" t="str">
        <f>'[1]Start Here'!$H$17&amp;TEXT(M130,"#,##0")</f>
        <v>$0</v>
      </c>
      <c r="M17" s="137"/>
      <c r="N17" s="137"/>
      <c r="O17" s="137"/>
      <c r="Q17" s="136" t="str">
        <f>'[1]Start Here'!$H$17&amp;TEXT(R130,"#,##0")</f>
        <v>$0</v>
      </c>
      <c r="R17" s="137"/>
      <c r="S17" s="137"/>
      <c r="T17" s="137"/>
      <c r="V17" s="136" t="str">
        <f>'[1]Start Here'!$H$17&amp;TEXT(W130,"#,##0")</f>
        <v>$0</v>
      </c>
      <c r="W17" s="137"/>
      <c r="X17" s="137"/>
      <c r="Y17" s="137"/>
      <c r="AA17" s="136" t="str">
        <f>'[1]Start Here'!$H$17&amp;TEXT(AB130,"#,##0")</f>
        <v>$0</v>
      </c>
      <c r="AB17" s="137"/>
      <c r="AC17" s="137"/>
      <c r="AD17" s="137"/>
      <c r="AF17" s="136" t="str">
        <f>'[1]Start Here'!$H$17&amp;TEXT(AG130,"#,##0")</f>
        <v>$0</v>
      </c>
      <c r="AG17" s="137"/>
      <c r="AH17" s="137"/>
      <c r="AI17" s="137"/>
    </row>
    <row r="18" spans="2:35">
      <c r="B18" s="136"/>
      <c r="C18" s="138" t="str">
        <f>IFERROR(D130/C130,"")</f>
        <v/>
      </c>
      <c r="D18" s="138"/>
      <c r="E18" s="138"/>
      <c r="G18" s="136"/>
      <c r="H18" s="138" t="str">
        <f>IFERROR(I130/H130,"")</f>
        <v/>
      </c>
      <c r="I18" s="138"/>
      <c r="J18" s="138"/>
      <c r="L18" s="136"/>
      <c r="M18" s="138" t="str">
        <f>IFERROR(N130/M130,"")</f>
        <v/>
      </c>
      <c r="N18" s="138"/>
      <c r="O18" s="138"/>
      <c r="Q18" s="136"/>
      <c r="R18" s="138" t="str">
        <f>IFERROR(S130/R130,"")</f>
        <v/>
      </c>
      <c r="S18" s="138"/>
      <c r="T18" s="138"/>
      <c r="V18" s="136"/>
      <c r="W18" s="138" t="str">
        <f>IFERROR(X130/W130,"")</f>
        <v/>
      </c>
      <c r="X18" s="138"/>
      <c r="Y18" s="138"/>
      <c r="AA18" s="136"/>
      <c r="AB18" s="138" t="str">
        <f>IFERROR(AC130/AB130,"")</f>
        <v/>
      </c>
      <c r="AC18" s="138"/>
      <c r="AD18" s="138"/>
      <c r="AF18" s="136"/>
      <c r="AG18" s="138" t="str">
        <f>IFERROR(AH130/AG130,"")</f>
        <v/>
      </c>
      <c r="AH18" s="138"/>
      <c r="AI18" s="138"/>
    </row>
    <row r="19" spans="2:35">
      <c r="B19" s="139" t="s">
        <v>124</v>
      </c>
      <c r="C19" s="138"/>
      <c r="D19" s="138"/>
      <c r="E19" s="138"/>
      <c r="G19" s="139" t="s">
        <v>124</v>
      </c>
      <c r="H19" s="138"/>
      <c r="I19" s="138"/>
      <c r="J19" s="138"/>
      <c r="L19" s="139" t="s">
        <v>124</v>
      </c>
      <c r="M19" s="138"/>
      <c r="N19" s="138"/>
      <c r="O19" s="138"/>
      <c r="Q19" s="139" t="s">
        <v>124</v>
      </c>
      <c r="R19" s="138"/>
      <c r="S19" s="138"/>
      <c r="T19" s="138"/>
      <c r="V19" s="139" t="s">
        <v>124</v>
      </c>
      <c r="W19" s="138"/>
      <c r="X19" s="138"/>
      <c r="Y19" s="138"/>
      <c r="AA19" s="139" t="s">
        <v>124</v>
      </c>
      <c r="AB19" s="138"/>
      <c r="AC19" s="138"/>
      <c r="AD19" s="138"/>
      <c r="AF19" s="139" t="s">
        <v>124</v>
      </c>
      <c r="AG19" s="138"/>
      <c r="AH19" s="138"/>
      <c r="AI19" s="138"/>
    </row>
    <row r="20" spans="2:35">
      <c r="B20" s="136" t="str">
        <f>'[1]Start Here'!$H$17&amp;TEXT(D130,"#,##0")</f>
        <v>$0</v>
      </c>
      <c r="C20" s="138"/>
      <c r="D20" s="138"/>
      <c r="E20" s="138"/>
      <c r="G20" s="136" t="str">
        <f>'[1]Start Here'!$H$17&amp;TEXT(I130,"#,##0")</f>
        <v>$0</v>
      </c>
      <c r="H20" s="138"/>
      <c r="I20" s="138"/>
      <c r="J20" s="138"/>
      <c r="L20" s="136" t="str">
        <f>'[1]Start Here'!$H$17&amp;TEXT(N130,"#,##0")</f>
        <v>$0</v>
      </c>
      <c r="M20" s="138"/>
      <c r="N20" s="138"/>
      <c r="O20" s="138"/>
      <c r="Q20" s="136" t="str">
        <f>'[1]Start Here'!$H$17&amp;TEXT(S130,"#,##0")</f>
        <v>$0</v>
      </c>
      <c r="R20" s="138"/>
      <c r="S20" s="138"/>
      <c r="T20" s="138"/>
      <c r="V20" s="136" t="str">
        <f>'[1]Start Here'!$H$17&amp;TEXT(X130,"#,##0")</f>
        <v>$0</v>
      </c>
      <c r="W20" s="138"/>
      <c r="X20" s="138"/>
      <c r="Y20" s="138"/>
      <c r="AA20" s="136" t="str">
        <f>'[1]Start Here'!$H$17&amp;TEXT(AC130,"#,##0")</f>
        <v>$0</v>
      </c>
      <c r="AB20" s="138"/>
      <c r="AC20" s="138"/>
      <c r="AD20" s="138"/>
      <c r="AF20" s="136" t="str">
        <f>'[1]Start Here'!$H$17&amp;TEXT(AH130,"#,##0")</f>
        <v>$0</v>
      </c>
      <c r="AG20" s="138"/>
      <c r="AH20" s="138"/>
      <c r="AI20" s="138"/>
    </row>
    <row r="21" spans="2:35">
      <c r="B21" s="136"/>
      <c r="C21" s="138"/>
      <c r="D21" s="138"/>
      <c r="E21" s="138"/>
      <c r="G21" s="136"/>
      <c r="H21" s="138"/>
      <c r="I21" s="138"/>
      <c r="J21" s="138"/>
      <c r="L21" s="136"/>
      <c r="M21" s="138"/>
      <c r="N21" s="138"/>
      <c r="O21" s="138"/>
      <c r="Q21" s="136"/>
      <c r="R21" s="138"/>
      <c r="S21" s="138"/>
      <c r="T21" s="138"/>
      <c r="V21" s="136"/>
      <c r="W21" s="138"/>
      <c r="X21" s="138"/>
      <c r="Y21" s="138"/>
      <c r="AA21" s="136"/>
      <c r="AB21" s="138"/>
      <c r="AC21" s="138"/>
      <c r="AD21" s="138"/>
      <c r="AF21" s="136"/>
      <c r="AG21" s="138"/>
      <c r="AH21" s="138"/>
      <c r="AI21" s="138"/>
    </row>
    <row r="22" spans="2:35">
      <c r="B22" s="139" t="s">
        <v>125</v>
      </c>
      <c r="C22" s="138"/>
      <c r="D22" s="138"/>
      <c r="E22" s="138"/>
      <c r="G22" s="139" t="s">
        <v>125</v>
      </c>
      <c r="H22" s="138"/>
      <c r="I22" s="138"/>
      <c r="J22" s="138"/>
      <c r="L22" s="139" t="s">
        <v>125</v>
      </c>
      <c r="M22" s="138"/>
      <c r="N22" s="138"/>
      <c r="O22" s="138"/>
      <c r="Q22" s="139" t="s">
        <v>125</v>
      </c>
      <c r="R22" s="138"/>
      <c r="S22" s="138"/>
      <c r="T22" s="138"/>
      <c r="V22" s="139" t="s">
        <v>125</v>
      </c>
      <c r="W22" s="138"/>
      <c r="X22" s="138"/>
      <c r="Y22" s="138"/>
      <c r="AA22" s="139" t="s">
        <v>125</v>
      </c>
      <c r="AB22" s="138"/>
      <c r="AC22" s="138"/>
      <c r="AD22" s="138"/>
      <c r="AF22" s="139" t="s">
        <v>125</v>
      </c>
      <c r="AG22" s="138"/>
      <c r="AH22" s="138"/>
      <c r="AI22" s="138"/>
    </row>
    <row r="23" spans="2:35">
      <c r="B23" s="136" t="str">
        <f>IF(D130-C130&lt;0,'[1]Start Here'!$H$17&amp;TEXT((D130-C130)*-1,"#,##0"),'[1]Start Here'!$H$17&amp;TEXT((D130-C130),"#,##0"))</f>
        <v>$0</v>
      </c>
      <c r="C23" s="138"/>
      <c r="D23" s="138"/>
      <c r="E23" s="138"/>
      <c r="G23" s="136" t="str">
        <f>IF(I130-H130&lt;0,'[1]Start Here'!$H$17&amp;TEXT((I130-H130)*-1,"#,##0"),'[1]Start Here'!$H$17&amp;TEXT((I130-H130),"#,##0"))</f>
        <v>$0</v>
      </c>
      <c r="H23" s="138"/>
      <c r="I23" s="138"/>
      <c r="J23" s="138"/>
      <c r="L23" s="136" t="str">
        <f>IF(N130-M130&lt;0,'[1]Start Here'!$H$17&amp;TEXT((N130-M130)*-1,"#,##0"),'[1]Start Here'!$H$17&amp;TEXT((N130-M130),"#,##0"))</f>
        <v>$0</v>
      </c>
      <c r="M23" s="138"/>
      <c r="N23" s="138"/>
      <c r="O23" s="138"/>
      <c r="Q23" s="136" t="str">
        <f>IF(S130-R130&lt;0,'[1]Start Here'!$H$17&amp;TEXT((S130-R130)*-1,"#,##0"),'[1]Start Here'!$H$17&amp;TEXT((S130-R130),"#,##0"))</f>
        <v>$0</v>
      </c>
      <c r="R23" s="138"/>
      <c r="S23" s="138"/>
      <c r="T23" s="138"/>
      <c r="V23" s="136" t="str">
        <f>IF(X130-W130&lt;0,'[1]Start Here'!$H$17&amp;TEXT((X130-W130)*-1,"#,##0"),'[1]Start Here'!$H$17&amp;TEXT((X130-W130),"#,##0"))</f>
        <v>$0</v>
      </c>
      <c r="W23" s="138"/>
      <c r="X23" s="138"/>
      <c r="Y23" s="138"/>
      <c r="AA23" s="136" t="str">
        <f>IF(AC130-AB130&lt;0,'[1]Start Here'!$H$17&amp;TEXT((AC130-AB130)*-1,"#,##0"),'[1]Start Here'!$H$17&amp;TEXT((AC130-AB130),"#,##0"))</f>
        <v>$0</v>
      </c>
      <c r="AB23" s="138"/>
      <c r="AC23" s="138"/>
      <c r="AD23" s="138"/>
      <c r="AF23" s="136" t="str">
        <f>IF(AH130-AG130&lt;0,'[1]Start Here'!$H$17&amp;TEXT((AH130-AG130)*-1,"#,##0"),'[1]Start Here'!$H$17&amp;TEXT((AH130-AG130),"#,##0"))</f>
        <v>$0</v>
      </c>
      <c r="AG23" s="138"/>
      <c r="AH23" s="138"/>
      <c r="AI23" s="138"/>
    </row>
    <row r="24" spans="2:35">
      <c r="B24" s="136"/>
      <c r="C24" s="138"/>
      <c r="D24" s="138"/>
      <c r="E24" s="138"/>
      <c r="G24" s="136"/>
      <c r="H24" s="138"/>
      <c r="I24" s="138"/>
      <c r="J24" s="138"/>
      <c r="L24" s="136"/>
      <c r="M24" s="138"/>
      <c r="N24" s="138"/>
      <c r="O24" s="138"/>
      <c r="Q24" s="136"/>
      <c r="R24" s="138"/>
      <c r="S24" s="138"/>
      <c r="T24" s="138"/>
      <c r="V24" s="136"/>
      <c r="W24" s="138"/>
      <c r="X24" s="138"/>
      <c r="Y24" s="138"/>
      <c r="AA24" s="136"/>
      <c r="AB24" s="138"/>
      <c r="AC24" s="138"/>
      <c r="AD24" s="138"/>
      <c r="AF24" s="136"/>
      <c r="AG24" s="138"/>
      <c r="AH24" s="138"/>
      <c r="AI24" s="138"/>
    </row>
    <row r="25" spans="2:35">
      <c r="B25" s="139" t="str" cm="1">
        <f t="array" ref="B25">_xlfn.IFS(
D130-C130&lt;0,"UNDER BUDGET",
D130-C130&gt;0,"OVER BUDGET",
D130-C130=0,"ON BUDGET ✅")</f>
        <v>ON BUDGET ✅</v>
      </c>
      <c r="C25" s="140" t="s">
        <v>126</v>
      </c>
      <c r="D25" s="140"/>
      <c r="E25" s="140"/>
      <c r="G25" s="139" t="str" cm="1">
        <f t="array" ref="G25">_xlfn.IFS(
I130-H130&lt;0,"UNDER BUDGET",
I130-H130&gt;0,"OVER BUDGET",
I130-H130=0,"ON BUDGET ✅")</f>
        <v>ON BUDGET ✅</v>
      </c>
      <c r="H25" s="140" t="s">
        <v>126</v>
      </c>
      <c r="I25" s="140"/>
      <c r="J25" s="140"/>
      <c r="L25" s="139" t="str" cm="1">
        <f t="array" ref="L25">_xlfn.IFS(
N130-M130&lt;0,"UNDER BUDGET",
N130-M130&gt;0,"OVER BUDGET",
N130-M130=0,"ON BUDGET ✅")</f>
        <v>ON BUDGET ✅</v>
      </c>
      <c r="M25" s="140" t="s">
        <v>126</v>
      </c>
      <c r="N25" s="140"/>
      <c r="O25" s="140"/>
      <c r="Q25" s="139" t="str" cm="1">
        <f t="array" ref="Q25">_xlfn.IFS(
S130-R130&lt;0,"UNDER BUDGET",
S130-R130&gt;0,"OVER BUDGET",
S130-R130=0,"ON BUDGET ✅")</f>
        <v>ON BUDGET ✅</v>
      </c>
      <c r="R25" s="140" t="s">
        <v>126</v>
      </c>
      <c r="S25" s="140"/>
      <c r="T25" s="140"/>
      <c r="V25" s="139" t="str" cm="1">
        <f t="array" ref="V25">_xlfn.IFS(
X130-W130&lt;0,"UNDER BUDGET",
X130-W130&gt;0,"OVER BUDGET",
X130-W130=0,"ON BUDGET ✅")</f>
        <v>ON BUDGET ✅</v>
      </c>
      <c r="W25" s="140" t="s">
        <v>126</v>
      </c>
      <c r="X25" s="140"/>
      <c r="Y25" s="140"/>
      <c r="AA25" s="139" t="str" cm="1">
        <f t="array" ref="AA25">_xlfn.IFS(
AC130-AB130&lt;0,"UNDER BUDGET",
AC130-AB130&gt;0,"OVER BUDGET",
AC130-AB130=0,"ON BUDGET ✅")</f>
        <v>ON BUDGET ✅</v>
      </c>
      <c r="AB25" s="140" t="s">
        <v>126</v>
      </c>
      <c r="AC25" s="140"/>
      <c r="AD25" s="140"/>
      <c r="AF25" s="139" t="str" cm="1">
        <f t="array" ref="AF25">_xlfn.IFS(
AH130-AG130&lt;0,"UNDER BUDGET",
AH130-AG130&gt;0,"OVER BUDGET",
AH130-AG130=0,"ON BUDGET ✅")</f>
        <v>ON BUDGET ✅</v>
      </c>
      <c r="AG25" s="140" t="s">
        <v>126</v>
      </c>
      <c r="AH25" s="140"/>
      <c r="AI25" s="140"/>
    </row>
    <row r="26" spans="2:35">
      <c r="B26" s="137"/>
      <c r="C26" s="137"/>
      <c r="D26" s="137"/>
      <c r="E26" s="137"/>
      <c r="G26" s="137"/>
      <c r="H26" s="137"/>
      <c r="I26" s="137"/>
      <c r="J26" s="137"/>
      <c r="L26" s="137"/>
      <c r="M26" s="137"/>
      <c r="N26" s="137"/>
      <c r="O26" s="137"/>
      <c r="Q26" s="137"/>
      <c r="R26" s="137"/>
      <c r="S26" s="137"/>
      <c r="T26" s="137"/>
      <c r="V26" s="137"/>
      <c r="W26" s="137"/>
      <c r="X26" s="137"/>
      <c r="Y26" s="137"/>
      <c r="AA26" s="137"/>
      <c r="AB26" s="137"/>
      <c r="AC26" s="137"/>
      <c r="AD26" s="137"/>
      <c r="AF26" s="137"/>
      <c r="AG26" s="137"/>
      <c r="AH26" s="137"/>
      <c r="AI26" s="137"/>
    </row>
    <row r="28" spans="2:35">
      <c r="B28" s="177" t="s">
        <v>4</v>
      </c>
      <c r="C28" s="177" t="str">
        <f>"Budget 
("&amp;'[1]Start Here'!$H$17&amp;")"</f>
        <v>Budget 
($)</v>
      </c>
      <c r="D28" s="177" t="str">
        <f>"Actual 
("&amp;'[1]Start Here'!$H$17&amp;")"</f>
        <v>Actual 
($)</v>
      </c>
      <c r="E28" s="177" t="str">
        <f>"Var. 
("&amp;'[1]Start Here'!$H$17&amp;")"</f>
        <v>Var. 
($)</v>
      </c>
      <c r="G28" s="182" t="s">
        <v>4</v>
      </c>
      <c r="H28" s="182" t="str">
        <f>"Budget 
("&amp;'[1]Start Here'!$H$17&amp;")"</f>
        <v>Budget 
($)</v>
      </c>
      <c r="I28" s="182" t="str">
        <f>"Actual 
("&amp;'[1]Start Here'!$H$17&amp;")"</f>
        <v>Actual 
($)</v>
      </c>
      <c r="J28" s="182" t="str">
        <f>"Var. 
("&amp;'[1]Start Here'!$H$17&amp;")"</f>
        <v>Var. 
($)</v>
      </c>
      <c r="L28" s="141" t="s">
        <v>4</v>
      </c>
      <c r="M28" s="141" t="str">
        <f>"Budget 
("&amp;'[1]Start Here'!$H$17&amp;")"</f>
        <v>Budget 
($)</v>
      </c>
      <c r="N28" s="141" t="str">
        <f>"Actual 
("&amp;'[1]Start Here'!$H$17&amp;")"</f>
        <v>Actual 
($)</v>
      </c>
      <c r="O28" s="141" t="str">
        <f>"Var. 
("&amp;'[1]Start Here'!$H$17&amp;")"</f>
        <v>Var. 
($)</v>
      </c>
      <c r="Q28" s="142" t="s">
        <v>4</v>
      </c>
      <c r="R28" s="142" t="str">
        <f>"Budget 
("&amp;'[1]Start Here'!$H$17&amp;")"</f>
        <v>Budget 
($)</v>
      </c>
      <c r="S28" s="142" t="str">
        <f>"Actual 
("&amp;'[1]Start Here'!$H$17&amp;")"</f>
        <v>Actual 
($)</v>
      </c>
      <c r="T28" s="142" t="str">
        <f>"Var. 
("&amp;'[1]Start Here'!$H$17&amp;")"</f>
        <v>Var. 
($)</v>
      </c>
      <c r="V28" s="143" t="s">
        <v>4</v>
      </c>
      <c r="W28" s="143" t="str">
        <f>"Budget 
("&amp;'[1]Start Here'!$H$17&amp;")"</f>
        <v>Budget 
($)</v>
      </c>
      <c r="X28" s="143" t="str">
        <f>"Actual 
("&amp;'[1]Start Here'!$H$17&amp;")"</f>
        <v>Actual 
($)</v>
      </c>
      <c r="Y28" s="143" t="str">
        <f>"Var. 
("&amp;'[1]Start Here'!$H$17&amp;")"</f>
        <v>Var. 
($)</v>
      </c>
      <c r="AA28" s="144" t="s">
        <v>4</v>
      </c>
      <c r="AB28" s="144" t="str">
        <f>"Budget 
("&amp;'[1]Start Here'!$H$17&amp;")"</f>
        <v>Budget 
($)</v>
      </c>
      <c r="AC28" s="144" t="str">
        <f>"Actual 
("&amp;'[1]Start Here'!$H$17&amp;")"</f>
        <v>Actual 
($)</v>
      </c>
      <c r="AD28" s="144" t="str">
        <f>"Var. 
("&amp;'[1]Start Here'!$H$17&amp;")"</f>
        <v>Var. 
($)</v>
      </c>
      <c r="AF28" s="145" t="s">
        <v>4</v>
      </c>
      <c r="AG28" s="145" t="str">
        <f>"Budget 
("&amp;'[1]Start Here'!$H$17&amp;")"</f>
        <v>Budget 
($)</v>
      </c>
      <c r="AH28" s="145" t="str">
        <f>"Actual 
("&amp;'[1]Start Here'!$H$17&amp;")"</f>
        <v>Actual 
($)</v>
      </c>
      <c r="AI28" s="145" t="str">
        <f>"Var. 
("&amp;'[1]Start Here'!$H$17&amp;")"</f>
        <v>Var. 
($)</v>
      </c>
    </row>
    <row r="29" spans="2:35">
      <c r="B29" s="177"/>
      <c r="C29" s="177"/>
      <c r="D29" s="177"/>
      <c r="E29" s="177"/>
      <c r="G29" s="182"/>
      <c r="H29" s="182"/>
      <c r="I29" s="182"/>
      <c r="J29" s="182"/>
      <c r="L29" s="141"/>
      <c r="M29" s="141"/>
      <c r="N29" s="141"/>
      <c r="O29" s="141"/>
      <c r="Q29" s="142"/>
      <c r="R29" s="142"/>
      <c r="S29" s="142"/>
      <c r="T29" s="142"/>
      <c r="V29" s="143"/>
      <c r="W29" s="143"/>
      <c r="X29" s="143"/>
      <c r="Y29" s="143"/>
      <c r="AA29" s="144"/>
      <c r="AB29" s="144"/>
      <c r="AC29" s="144"/>
      <c r="AD29" s="144"/>
      <c r="AF29" s="145"/>
      <c r="AG29" s="145"/>
      <c r="AH29" s="145"/>
      <c r="AI29" s="145"/>
    </row>
    <row r="30" spans="2:35">
      <c r="B30" s="146"/>
      <c r="C30" s="147"/>
      <c r="D30" s="174" t="str">
        <f>IF(ISBLANK(C30),"",SUMIF($AN$5:$AN$1004,B30,$AO$5:$AO$1004))</f>
        <v/>
      </c>
      <c r="E30" s="174" t="str">
        <f t="shared" ref="E30:E93" si="0">IF(ISBLANK(C30),"",D30-C30)</f>
        <v/>
      </c>
      <c r="G30" s="146"/>
      <c r="H30" s="147"/>
      <c r="I30" s="184" t="str">
        <f>IF(ISBLANK(H30),"",SUMIF($AN$5:$AN$1004,G30,$AO$5:$AO$1004))</f>
        <v/>
      </c>
      <c r="J30" s="184" t="str">
        <f t="shared" ref="J30:J93" si="1">IF(ISBLANK(H30),"",I30-H30)</f>
        <v/>
      </c>
      <c r="L30" s="146"/>
      <c r="M30" s="147"/>
      <c r="N30" s="148" t="str">
        <f t="shared" ref="N30:N93" si="2">IF(ISBLANK(M30),"",SUMIF($AN$5:$AN$1004,L30,$AO$5:$AO$1004))</f>
        <v/>
      </c>
      <c r="O30" s="148" t="str">
        <f t="shared" ref="O30:O93" si="3">IF(ISBLANK(M30),"",N30-M30)</f>
        <v/>
      </c>
      <c r="Q30" s="146"/>
      <c r="R30" s="147"/>
      <c r="S30" s="149" t="str">
        <f t="shared" ref="S30:S93" si="4">IF(ISBLANK(R30),"",SUMIF($AN$5:$AN$1004,Q30,$AO$5:$AO$1004))</f>
        <v/>
      </c>
      <c r="T30" s="149" t="str">
        <f t="shared" ref="T30:T93" si="5">IF(ISBLANK(R30),"",S30-R30)</f>
        <v/>
      </c>
      <c r="V30" s="146"/>
      <c r="W30" s="147"/>
      <c r="X30" s="150" t="str">
        <f t="shared" ref="X30:X93" si="6">IF(ISBLANK(W30),"",SUMIF($AN$5:$AN$1004,V30,$AO$5:$AO$1004))</f>
        <v/>
      </c>
      <c r="Y30" s="150" t="str">
        <f t="shared" ref="Y30:Y93" si="7">IF(ISBLANK(W30),"",X30-W30)</f>
        <v/>
      </c>
      <c r="AA30" s="146"/>
      <c r="AB30" s="147"/>
      <c r="AC30" s="151" t="str">
        <f t="shared" ref="AC30:AC93" si="8">IF(ISBLANK(AB30),"",SUMIF($AN$5:$AN$1004,AA30,$AO$5:$AO$1004))</f>
        <v/>
      </c>
      <c r="AD30" s="151" t="str">
        <f t="shared" ref="AD30:AD93" si="9">IF(ISBLANK(AB30),"",AC30-AB30)</f>
        <v/>
      </c>
      <c r="AF30" s="146"/>
      <c r="AG30" s="147"/>
      <c r="AH30" s="152" t="str">
        <f t="shared" ref="AH30:AH93" si="10">IF(ISBLANK(AG30),"",SUMIF($AN$5:$AN$1004,AF30,$AO$5:$AO$1004))</f>
        <v/>
      </c>
      <c r="AI30" s="152" t="str">
        <f t="shared" ref="AI30:AI93" si="11">IF(ISBLANK(AG30),"",AH30-AG30)</f>
        <v/>
      </c>
    </row>
    <row r="31" spans="2:35">
      <c r="B31" s="153"/>
      <c r="C31" s="154"/>
      <c r="D31" s="175" t="str">
        <f>IF(ISBLANK(C31),"",SUMIF($AN$5:$AN$1004,B31,$AO$5:$AO$1004))</f>
        <v/>
      </c>
      <c r="E31" s="175" t="str">
        <f t="shared" si="0"/>
        <v/>
      </c>
      <c r="G31" s="153"/>
      <c r="H31" s="154"/>
      <c r="I31" s="185" t="str">
        <f>IF(ISBLANK(H31),"",SUMIF($AN$5:$AN$1004,G31,$AO$5:$AO$1004))</f>
        <v/>
      </c>
      <c r="J31" s="185" t="str">
        <f t="shared" si="1"/>
        <v/>
      </c>
      <c r="L31" s="153"/>
      <c r="M31" s="154"/>
      <c r="N31" s="155" t="str">
        <f t="shared" si="2"/>
        <v/>
      </c>
      <c r="O31" s="155" t="str">
        <f t="shared" si="3"/>
        <v/>
      </c>
      <c r="Q31" s="153"/>
      <c r="R31" s="154"/>
      <c r="S31" s="156" t="str">
        <f t="shared" si="4"/>
        <v/>
      </c>
      <c r="T31" s="156" t="str">
        <f t="shared" si="5"/>
        <v/>
      </c>
      <c r="V31" s="153"/>
      <c r="W31" s="154"/>
      <c r="X31" s="157" t="str">
        <f t="shared" si="6"/>
        <v/>
      </c>
      <c r="Y31" s="157" t="str">
        <f t="shared" si="7"/>
        <v/>
      </c>
      <c r="AA31" s="153"/>
      <c r="AB31" s="154"/>
      <c r="AC31" s="158" t="str">
        <f t="shared" si="8"/>
        <v/>
      </c>
      <c r="AD31" s="158" t="str">
        <f t="shared" si="9"/>
        <v/>
      </c>
      <c r="AF31" s="153"/>
      <c r="AG31" s="154"/>
      <c r="AH31" s="159" t="str">
        <f t="shared" si="10"/>
        <v/>
      </c>
      <c r="AI31" s="159" t="str">
        <f t="shared" si="11"/>
        <v/>
      </c>
    </row>
    <row r="32" spans="2:35">
      <c r="B32" s="153"/>
      <c r="C32" s="154"/>
      <c r="D32" s="175" t="str">
        <f>IF(ISBLANK(C32),"",SUMIF($AN$5:$AN$1004,B32,$AO$5:$AO$1004))</f>
        <v/>
      </c>
      <c r="E32" s="175" t="str">
        <f t="shared" si="0"/>
        <v/>
      </c>
      <c r="G32" s="153"/>
      <c r="H32" s="154"/>
      <c r="I32" s="185" t="str">
        <f>IF(ISBLANK(H32),"",SUMIF($AN$5:$AN$1004,G32,$AO$5:$AO$1004))</f>
        <v/>
      </c>
      <c r="J32" s="185" t="str">
        <f t="shared" si="1"/>
        <v/>
      </c>
      <c r="L32" s="153"/>
      <c r="M32" s="154"/>
      <c r="N32" s="155" t="str">
        <f t="shared" si="2"/>
        <v/>
      </c>
      <c r="O32" s="155" t="str">
        <f t="shared" si="3"/>
        <v/>
      </c>
      <c r="Q32" s="153"/>
      <c r="R32" s="154"/>
      <c r="S32" s="156" t="str">
        <f t="shared" si="4"/>
        <v/>
      </c>
      <c r="T32" s="156" t="str">
        <f t="shared" si="5"/>
        <v/>
      </c>
      <c r="V32" s="153"/>
      <c r="W32" s="154"/>
      <c r="X32" s="157" t="str">
        <f t="shared" si="6"/>
        <v/>
      </c>
      <c r="Y32" s="157" t="str">
        <f t="shared" si="7"/>
        <v/>
      </c>
      <c r="AA32" s="153"/>
      <c r="AB32" s="154"/>
      <c r="AC32" s="158" t="str">
        <f t="shared" si="8"/>
        <v/>
      </c>
      <c r="AD32" s="158" t="str">
        <f t="shared" si="9"/>
        <v/>
      </c>
      <c r="AF32" s="153"/>
      <c r="AG32" s="154"/>
      <c r="AH32" s="159" t="str">
        <f t="shared" si="10"/>
        <v/>
      </c>
      <c r="AI32" s="159" t="str">
        <f t="shared" si="11"/>
        <v/>
      </c>
    </row>
    <row r="33" spans="2:35">
      <c r="B33" s="153"/>
      <c r="C33" s="154"/>
      <c r="D33" s="175" t="str">
        <f>IF(ISBLANK(C33),"",SUMIF($AN$5:$AN$1004,B33,$AO$5:$AO$1004))</f>
        <v/>
      </c>
      <c r="E33" s="175" t="str">
        <f t="shared" si="0"/>
        <v/>
      </c>
      <c r="G33" s="153"/>
      <c r="H33" s="154"/>
      <c r="I33" s="185" t="str">
        <f>IF(ISBLANK(H33),"",SUMIF($AN$5:$AN$1004,G33,$AO$5:$AO$1004))</f>
        <v/>
      </c>
      <c r="J33" s="185" t="str">
        <f t="shared" si="1"/>
        <v/>
      </c>
      <c r="L33" s="153"/>
      <c r="M33" s="154"/>
      <c r="N33" s="155" t="str">
        <f t="shared" si="2"/>
        <v/>
      </c>
      <c r="O33" s="155" t="str">
        <f t="shared" si="3"/>
        <v/>
      </c>
      <c r="Q33" s="153"/>
      <c r="R33" s="154"/>
      <c r="S33" s="156" t="str">
        <f t="shared" si="4"/>
        <v/>
      </c>
      <c r="T33" s="156" t="str">
        <f t="shared" si="5"/>
        <v/>
      </c>
      <c r="V33" s="153"/>
      <c r="W33" s="154"/>
      <c r="X33" s="157" t="str">
        <f t="shared" si="6"/>
        <v/>
      </c>
      <c r="Y33" s="157" t="str">
        <f t="shared" si="7"/>
        <v/>
      </c>
      <c r="AA33" s="153"/>
      <c r="AB33" s="154"/>
      <c r="AC33" s="158" t="str">
        <f t="shared" si="8"/>
        <v/>
      </c>
      <c r="AD33" s="158" t="str">
        <f t="shared" si="9"/>
        <v/>
      </c>
      <c r="AF33" s="153"/>
      <c r="AG33" s="154"/>
      <c r="AH33" s="159" t="str">
        <f t="shared" si="10"/>
        <v/>
      </c>
      <c r="AI33" s="159" t="str">
        <f t="shared" si="11"/>
        <v/>
      </c>
    </row>
    <row r="34" spans="2:35">
      <c r="B34" s="153"/>
      <c r="C34" s="154"/>
      <c r="D34" s="175" t="str">
        <f>IF(ISBLANK(C34),"",SUMIF($AN$5:$AN$1004,B34,$AO$5:$AO$1004))</f>
        <v/>
      </c>
      <c r="E34" s="175" t="str">
        <f t="shared" si="0"/>
        <v/>
      </c>
      <c r="G34" s="153"/>
      <c r="H34" s="154"/>
      <c r="I34" s="185" t="str">
        <f>IF(ISBLANK(H34),"",SUMIF($AN$5:$AN$1004,G34,$AO$5:$AO$1004))</f>
        <v/>
      </c>
      <c r="J34" s="185" t="str">
        <f t="shared" si="1"/>
        <v/>
      </c>
      <c r="L34" s="153"/>
      <c r="M34" s="154"/>
      <c r="N34" s="155" t="str">
        <f t="shared" si="2"/>
        <v/>
      </c>
      <c r="O34" s="155" t="str">
        <f t="shared" si="3"/>
        <v/>
      </c>
      <c r="Q34" s="153"/>
      <c r="R34" s="154"/>
      <c r="S34" s="156" t="str">
        <f t="shared" si="4"/>
        <v/>
      </c>
      <c r="T34" s="156" t="str">
        <f t="shared" si="5"/>
        <v/>
      </c>
      <c r="V34" s="153"/>
      <c r="W34" s="154"/>
      <c r="X34" s="157" t="str">
        <f t="shared" si="6"/>
        <v/>
      </c>
      <c r="Y34" s="157" t="str">
        <f t="shared" si="7"/>
        <v/>
      </c>
      <c r="AA34" s="153"/>
      <c r="AB34" s="154"/>
      <c r="AC34" s="158" t="str">
        <f t="shared" si="8"/>
        <v/>
      </c>
      <c r="AD34" s="158" t="str">
        <f t="shared" si="9"/>
        <v/>
      </c>
      <c r="AF34" s="153"/>
      <c r="AG34" s="154"/>
      <c r="AH34" s="159" t="str">
        <f t="shared" si="10"/>
        <v/>
      </c>
      <c r="AI34" s="159" t="str">
        <f t="shared" si="11"/>
        <v/>
      </c>
    </row>
    <row r="35" spans="2:35">
      <c r="B35" s="153"/>
      <c r="C35" s="154"/>
      <c r="D35" s="175" t="str">
        <f>IF(ISBLANK(C35),"",SUMIF($AN$5:$AN$1004,B35,$AO$5:$AO$1004))</f>
        <v/>
      </c>
      <c r="E35" s="175" t="str">
        <f t="shared" si="0"/>
        <v/>
      </c>
      <c r="G35" s="153"/>
      <c r="H35" s="154"/>
      <c r="I35" s="185" t="str">
        <f>IF(ISBLANK(H35),"",SUMIF($AN$5:$AN$1004,G35,$AO$5:$AO$1004))</f>
        <v/>
      </c>
      <c r="J35" s="185" t="str">
        <f t="shared" si="1"/>
        <v/>
      </c>
      <c r="L35" s="153"/>
      <c r="M35" s="154"/>
      <c r="N35" s="155" t="str">
        <f t="shared" si="2"/>
        <v/>
      </c>
      <c r="O35" s="155" t="str">
        <f t="shared" si="3"/>
        <v/>
      </c>
      <c r="Q35" s="153"/>
      <c r="R35" s="154"/>
      <c r="S35" s="156" t="str">
        <f t="shared" si="4"/>
        <v/>
      </c>
      <c r="T35" s="156" t="str">
        <f t="shared" si="5"/>
        <v/>
      </c>
      <c r="V35" s="153"/>
      <c r="W35" s="154"/>
      <c r="X35" s="157" t="str">
        <f t="shared" si="6"/>
        <v/>
      </c>
      <c r="Y35" s="157" t="str">
        <f t="shared" si="7"/>
        <v/>
      </c>
      <c r="AA35" s="153"/>
      <c r="AB35" s="154"/>
      <c r="AC35" s="158" t="str">
        <f t="shared" si="8"/>
        <v/>
      </c>
      <c r="AD35" s="158" t="str">
        <f t="shared" si="9"/>
        <v/>
      </c>
      <c r="AF35" s="153"/>
      <c r="AG35" s="154"/>
      <c r="AH35" s="159" t="str">
        <f t="shared" si="10"/>
        <v/>
      </c>
      <c r="AI35" s="159" t="str">
        <f t="shared" si="11"/>
        <v/>
      </c>
    </row>
    <row r="36" spans="2:35">
      <c r="B36" s="153"/>
      <c r="C36" s="154"/>
      <c r="D36" s="175" t="str">
        <f>IF(ISBLANK(C36),"",SUMIF($AN$5:$AN$1004,B36,$AO$5:$AO$1004))</f>
        <v/>
      </c>
      <c r="E36" s="175" t="str">
        <f t="shared" si="0"/>
        <v/>
      </c>
      <c r="G36" s="153"/>
      <c r="H36" s="154"/>
      <c r="I36" s="185" t="str">
        <f>IF(ISBLANK(H36),"",SUMIF($AN$5:$AN$1004,G36,$AO$5:$AO$1004))</f>
        <v/>
      </c>
      <c r="J36" s="185" t="str">
        <f t="shared" si="1"/>
        <v/>
      </c>
      <c r="L36" s="153"/>
      <c r="M36" s="154"/>
      <c r="N36" s="155" t="str">
        <f t="shared" si="2"/>
        <v/>
      </c>
      <c r="O36" s="155" t="str">
        <f t="shared" si="3"/>
        <v/>
      </c>
      <c r="Q36" s="153"/>
      <c r="R36" s="154"/>
      <c r="S36" s="156" t="str">
        <f t="shared" si="4"/>
        <v/>
      </c>
      <c r="T36" s="156" t="str">
        <f t="shared" si="5"/>
        <v/>
      </c>
      <c r="V36" s="153"/>
      <c r="W36" s="154"/>
      <c r="X36" s="157" t="str">
        <f t="shared" si="6"/>
        <v/>
      </c>
      <c r="Y36" s="157" t="str">
        <f t="shared" si="7"/>
        <v/>
      </c>
      <c r="AA36" s="153"/>
      <c r="AB36" s="154"/>
      <c r="AC36" s="158" t="str">
        <f t="shared" si="8"/>
        <v/>
      </c>
      <c r="AD36" s="158" t="str">
        <f t="shared" si="9"/>
        <v/>
      </c>
      <c r="AF36" s="153"/>
      <c r="AG36" s="154"/>
      <c r="AH36" s="159" t="str">
        <f t="shared" si="10"/>
        <v/>
      </c>
      <c r="AI36" s="159" t="str">
        <f t="shared" si="11"/>
        <v/>
      </c>
    </row>
    <row r="37" spans="2:35">
      <c r="B37" s="153"/>
      <c r="C37" s="154"/>
      <c r="D37" s="175" t="str">
        <f>IF(ISBLANK(C37),"",SUMIF($AN$5:$AN$1004,B37,$AO$5:$AO$1004))</f>
        <v/>
      </c>
      <c r="E37" s="175" t="str">
        <f t="shared" si="0"/>
        <v/>
      </c>
      <c r="G37" s="153"/>
      <c r="H37" s="154"/>
      <c r="I37" s="185" t="str">
        <f>IF(ISBLANK(H37),"",SUMIF($AN$5:$AN$1004,G37,$AO$5:$AO$1004))</f>
        <v/>
      </c>
      <c r="J37" s="185" t="str">
        <f t="shared" si="1"/>
        <v/>
      </c>
      <c r="L37" s="153"/>
      <c r="M37" s="154"/>
      <c r="N37" s="155" t="str">
        <f t="shared" si="2"/>
        <v/>
      </c>
      <c r="O37" s="155" t="str">
        <f t="shared" si="3"/>
        <v/>
      </c>
      <c r="Q37" s="153"/>
      <c r="R37" s="154"/>
      <c r="S37" s="156" t="str">
        <f t="shared" si="4"/>
        <v/>
      </c>
      <c r="T37" s="156" t="str">
        <f t="shared" si="5"/>
        <v/>
      </c>
      <c r="V37" s="153"/>
      <c r="W37" s="154"/>
      <c r="X37" s="157" t="str">
        <f t="shared" si="6"/>
        <v/>
      </c>
      <c r="Y37" s="157" t="str">
        <f t="shared" si="7"/>
        <v/>
      </c>
      <c r="AA37" s="153"/>
      <c r="AB37" s="154"/>
      <c r="AC37" s="158" t="str">
        <f t="shared" si="8"/>
        <v/>
      </c>
      <c r="AD37" s="158" t="str">
        <f t="shared" si="9"/>
        <v/>
      </c>
      <c r="AF37" s="153"/>
      <c r="AG37" s="154"/>
      <c r="AH37" s="159" t="str">
        <f t="shared" si="10"/>
        <v/>
      </c>
      <c r="AI37" s="159" t="str">
        <f t="shared" si="11"/>
        <v/>
      </c>
    </row>
    <row r="38" spans="2:35">
      <c r="B38" s="153"/>
      <c r="C38" s="154"/>
      <c r="D38" s="175" t="str">
        <f>IF(ISBLANK(C38),"",SUMIF($AN$5:$AN$1004,B38,$AO$5:$AO$1004))</f>
        <v/>
      </c>
      <c r="E38" s="175" t="str">
        <f t="shared" si="0"/>
        <v/>
      </c>
      <c r="G38" s="153"/>
      <c r="H38" s="154"/>
      <c r="I38" s="185" t="str">
        <f>IF(ISBLANK(H38),"",SUMIF($AN$5:$AN$1004,G38,$AO$5:$AO$1004))</f>
        <v/>
      </c>
      <c r="J38" s="185" t="str">
        <f t="shared" si="1"/>
        <v/>
      </c>
      <c r="L38" s="153"/>
      <c r="M38" s="154"/>
      <c r="N38" s="155" t="str">
        <f t="shared" si="2"/>
        <v/>
      </c>
      <c r="O38" s="155" t="str">
        <f t="shared" si="3"/>
        <v/>
      </c>
      <c r="Q38" s="153"/>
      <c r="R38" s="154"/>
      <c r="S38" s="156" t="str">
        <f t="shared" si="4"/>
        <v/>
      </c>
      <c r="T38" s="156" t="str">
        <f t="shared" si="5"/>
        <v/>
      </c>
      <c r="V38" s="153"/>
      <c r="W38" s="154"/>
      <c r="X38" s="157" t="str">
        <f t="shared" si="6"/>
        <v/>
      </c>
      <c r="Y38" s="157" t="str">
        <f t="shared" si="7"/>
        <v/>
      </c>
      <c r="AA38" s="153"/>
      <c r="AB38" s="154"/>
      <c r="AC38" s="158" t="str">
        <f t="shared" si="8"/>
        <v/>
      </c>
      <c r="AD38" s="158" t="str">
        <f t="shared" si="9"/>
        <v/>
      </c>
      <c r="AF38" s="153"/>
      <c r="AG38" s="154"/>
      <c r="AH38" s="159" t="str">
        <f t="shared" si="10"/>
        <v/>
      </c>
      <c r="AI38" s="159" t="str">
        <f t="shared" si="11"/>
        <v/>
      </c>
    </row>
    <row r="39" spans="2:35">
      <c r="B39" s="153"/>
      <c r="C39" s="154"/>
      <c r="D39" s="175" t="str">
        <f>IF(ISBLANK(C39),"",SUMIF($AN$5:$AN$1004,B39,$AO$5:$AO$1004))</f>
        <v/>
      </c>
      <c r="E39" s="175" t="str">
        <f t="shared" si="0"/>
        <v/>
      </c>
      <c r="G39" s="153"/>
      <c r="H39" s="154"/>
      <c r="I39" s="185" t="str">
        <f>IF(ISBLANK(H39),"",SUMIF($AN$5:$AN$1004,G39,$AO$5:$AO$1004))</f>
        <v/>
      </c>
      <c r="J39" s="185" t="str">
        <f t="shared" si="1"/>
        <v/>
      </c>
      <c r="L39" s="153"/>
      <c r="M39" s="154"/>
      <c r="N39" s="155" t="str">
        <f t="shared" si="2"/>
        <v/>
      </c>
      <c r="O39" s="155" t="str">
        <f t="shared" si="3"/>
        <v/>
      </c>
      <c r="Q39" s="153"/>
      <c r="R39" s="154"/>
      <c r="S39" s="156" t="str">
        <f t="shared" si="4"/>
        <v/>
      </c>
      <c r="T39" s="156" t="str">
        <f t="shared" si="5"/>
        <v/>
      </c>
      <c r="V39" s="153"/>
      <c r="W39" s="154"/>
      <c r="X39" s="157" t="str">
        <f t="shared" si="6"/>
        <v/>
      </c>
      <c r="Y39" s="157" t="str">
        <f t="shared" si="7"/>
        <v/>
      </c>
      <c r="AA39" s="153"/>
      <c r="AB39" s="154"/>
      <c r="AC39" s="158" t="str">
        <f t="shared" si="8"/>
        <v/>
      </c>
      <c r="AD39" s="158" t="str">
        <f t="shared" si="9"/>
        <v/>
      </c>
      <c r="AF39" s="153"/>
      <c r="AG39" s="154"/>
      <c r="AH39" s="159" t="str">
        <f t="shared" si="10"/>
        <v/>
      </c>
      <c r="AI39" s="159" t="str">
        <f t="shared" si="11"/>
        <v/>
      </c>
    </row>
    <row r="40" spans="2:35">
      <c r="B40" s="153"/>
      <c r="C40" s="154"/>
      <c r="D40" s="175" t="str">
        <f>IF(ISBLANK(C40),"",SUMIF($AN$5:$AN$1004,B40,$AO$5:$AO$1004))</f>
        <v/>
      </c>
      <c r="E40" s="175" t="str">
        <f t="shared" si="0"/>
        <v/>
      </c>
      <c r="G40" s="153"/>
      <c r="H40" s="154"/>
      <c r="I40" s="185" t="str">
        <f>IF(ISBLANK(H40),"",SUMIF($AN$5:$AN$1004,G40,$AO$5:$AO$1004))</f>
        <v/>
      </c>
      <c r="J40" s="185" t="str">
        <f t="shared" si="1"/>
        <v/>
      </c>
      <c r="L40" s="153"/>
      <c r="M40" s="154"/>
      <c r="N40" s="155" t="str">
        <f t="shared" si="2"/>
        <v/>
      </c>
      <c r="O40" s="155" t="str">
        <f t="shared" si="3"/>
        <v/>
      </c>
      <c r="Q40" s="153"/>
      <c r="R40" s="154"/>
      <c r="S40" s="156" t="str">
        <f t="shared" si="4"/>
        <v/>
      </c>
      <c r="T40" s="156" t="str">
        <f t="shared" si="5"/>
        <v/>
      </c>
      <c r="V40" s="153"/>
      <c r="W40" s="154"/>
      <c r="X40" s="157" t="str">
        <f t="shared" si="6"/>
        <v/>
      </c>
      <c r="Y40" s="157" t="str">
        <f t="shared" si="7"/>
        <v/>
      </c>
      <c r="AA40" s="153"/>
      <c r="AB40" s="154"/>
      <c r="AC40" s="158" t="str">
        <f t="shared" si="8"/>
        <v/>
      </c>
      <c r="AD40" s="158" t="str">
        <f t="shared" si="9"/>
        <v/>
      </c>
      <c r="AF40" s="153"/>
      <c r="AG40" s="154"/>
      <c r="AH40" s="159" t="str">
        <f t="shared" si="10"/>
        <v/>
      </c>
      <c r="AI40" s="159" t="str">
        <f t="shared" si="11"/>
        <v/>
      </c>
    </row>
    <row r="41" spans="2:35">
      <c r="B41" s="153"/>
      <c r="C41" s="154"/>
      <c r="D41" s="175" t="str">
        <f>IF(ISBLANK(C41),"",SUMIF($AN$5:$AN$1004,B41,$AO$5:$AO$1004))</f>
        <v/>
      </c>
      <c r="E41" s="175" t="str">
        <f t="shared" si="0"/>
        <v/>
      </c>
      <c r="G41" s="153"/>
      <c r="H41" s="154"/>
      <c r="I41" s="185" t="str">
        <f>IF(ISBLANK(H41),"",SUMIF($AN$5:$AN$1004,G41,$AO$5:$AO$1004))</f>
        <v/>
      </c>
      <c r="J41" s="185" t="str">
        <f t="shared" si="1"/>
        <v/>
      </c>
      <c r="L41" s="153"/>
      <c r="M41" s="154"/>
      <c r="N41" s="155" t="str">
        <f t="shared" si="2"/>
        <v/>
      </c>
      <c r="O41" s="155" t="str">
        <f t="shared" si="3"/>
        <v/>
      </c>
      <c r="Q41" s="153"/>
      <c r="R41" s="154"/>
      <c r="S41" s="156" t="str">
        <f t="shared" si="4"/>
        <v/>
      </c>
      <c r="T41" s="156" t="str">
        <f t="shared" si="5"/>
        <v/>
      </c>
      <c r="V41" s="153"/>
      <c r="W41" s="154"/>
      <c r="X41" s="157" t="str">
        <f t="shared" si="6"/>
        <v/>
      </c>
      <c r="Y41" s="157" t="str">
        <f t="shared" si="7"/>
        <v/>
      </c>
      <c r="AA41" s="153"/>
      <c r="AB41" s="154"/>
      <c r="AC41" s="158" t="str">
        <f t="shared" si="8"/>
        <v/>
      </c>
      <c r="AD41" s="158" t="str">
        <f t="shared" si="9"/>
        <v/>
      </c>
      <c r="AF41" s="153"/>
      <c r="AG41" s="154"/>
      <c r="AH41" s="159" t="str">
        <f t="shared" si="10"/>
        <v/>
      </c>
      <c r="AI41" s="159" t="str">
        <f t="shared" si="11"/>
        <v/>
      </c>
    </row>
    <row r="42" spans="2:35">
      <c r="B42" s="153"/>
      <c r="C42" s="154"/>
      <c r="D42" s="175" t="str">
        <f>IF(ISBLANK(C42),"",SUMIF($AN$5:$AN$1004,B42,$AO$5:$AO$1004))</f>
        <v/>
      </c>
      <c r="E42" s="175" t="str">
        <f t="shared" si="0"/>
        <v/>
      </c>
      <c r="G42" s="153"/>
      <c r="H42" s="154"/>
      <c r="I42" s="185" t="str">
        <f>IF(ISBLANK(H42),"",SUMIF($AN$5:$AN$1004,G42,$AO$5:$AO$1004))</f>
        <v/>
      </c>
      <c r="J42" s="185" t="str">
        <f t="shared" si="1"/>
        <v/>
      </c>
      <c r="L42" s="153"/>
      <c r="M42" s="154"/>
      <c r="N42" s="155" t="str">
        <f t="shared" si="2"/>
        <v/>
      </c>
      <c r="O42" s="155" t="str">
        <f t="shared" si="3"/>
        <v/>
      </c>
      <c r="Q42" s="153"/>
      <c r="R42" s="154"/>
      <c r="S42" s="156" t="str">
        <f t="shared" si="4"/>
        <v/>
      </c>
      <c r="T42" s="156" t="str">
        <f t="shared" si="5"/>
        <v/>
      </c>
      <c r="V42" s="153"/>
      <c r="W42" s="154"/>
      <c r="X42" s="157" t="str">
        <f t="shared" si="6"/>
        <v/>
      </c>
      <c r="Y42" s="157" t="str">
        <f t="shared" si="7"/>
        <v/>
      </c>
      <c r="AA42" s="153"/>
      <c r="AB42" s="154"/>
      <c r="AC42" s="158" t="str">
        <f t="shared" si="8"/>
        <v/>
      </c>
      <c r="AD42" s="158" t="str">
        <f t="shared" si="9"/>
        <v/>
      </c>
      <c r="AF42" s="153"/>
      <c r="AG42" s="154"/>
      <c r="AH42" s="159" t="str">
        <f t="shared" si="10"/>
        <v/>
      </c>
      <c r="AI42" s="159" t="str">
        <f t="shared" si="11"/>
        <v/>
      </c>
    </row>
    <row r="43" spans="2:35">
      <c r="B43" s="153"/>
      <c r="C43" s="154"/>
      <c r="D43" s="175" t="str">
        <f>IF(ISBLANK(C43),"",SUMIF($AN$5:$AN$1004,B43,$AO$5:$AO$1004))</f>
        <v/>
      </c>
      <c r="E43" s="175" t="str">
        <f t="shared" si="0"/>
        <v/>
      </c>
      <c r="G43" s="153"/>
      <c r="H43" s="154"/>
      <c r="I43" s="185" t="str">
        <f>IF(ISBLANK(H43),"",SUMIF($AN$5:$AN$1004,G43,$AO$5:$AO$1004))</f>
        <v/>
      </c>
      <c r="J43" s="185" t="str">
        <f t="shared" si="1"/>
        <v/>
      </c>
      <c r="L43" s="153"/>
      <c r="M43" s="154"/>
      <c r="N43" s="155" t="str">
        <f t="shared" si="2"/>
        <v/>
      </c>
      <c r="O43" s="155" t="str">
        <f t="shared" si="3"/>
        <v/>
      </c>
      <c r="Q43" s="153"/>
      <c r="R43" s="154"/>
      <c r="S43" s="156" t="str">
        <f t="shared" si="4"/>
        <v/>
      </c>
      <c r="T43" s="156" t="str">
        <f t="shared" si="5"/>
        <v/>
      </c>
      <c r="V43" s="153"/>
      <c r="W43" s="154"/>
      <c r="X43" s="157" t="str">
        <f t="shared" si="6"/>
        <v/>
      </c>
      <c r="Y43" s="157" t="str">
        <f t="shared" si="7"/>
        <v/>
      </c>
      <c r="AA43" s="153"/>
      <c r="AB43" s="154"/>
      <c r="AC43" s="158" t="str">
        <f t="shared" si="8"/>
        <v/>
      </c>
      <c r="AD43" s="158" t="str">
        <f t="shared" si="9"/>
        <v/>
      </c>
      <c r="AF43" s="153"/>
      <c r="AG43" s="154"/>
      <c r="AH43" s="159" t="str">
        <f t="shared" si="10"/>
        <v/>
      </c>
      <c r="AI43" s="159" t="str">
        <f t="shared" si="11"/>
        <v/>
      </c>
    </row>
    <row r="44" spans="2:35">
      <c r="B44" s="153"/>
      <c r="C44" s="154"/>
      <c r="D44" s="175" t="str">
        <f>IF(ISBLANK(C44),"",SUMIF($AN$5:$AN$1004,B44,$AO$5:$AO$1004))</f>
        <v/>
      </c>
      <c r="E44" s="175" t="str">
        <f t="shared" si="0"/>
        <v/>
      </c>
      <c r="G44" s="153"/>
      <c r="H44" s="154"/>
      <c r="I44" s="185" t="str">
        <f>IF(ISBLANK(H44),"",SUMIF($AN$5:$AN$1004,G44,$AO$5:$AO$1004))</f>
        <v/>
      </c>
      <c r="J44" s="185" t="str">
        <f t="shared" si="1"/>
        <v/>
      </c>
      <c r="L44" s="153"/>
      <c r="M44" s="154"/>
      <c r="N44" s="155" t="str">
        <f t="shared" si="2"/>
        <v/>
      </c>
      <c r="O44" s="155" t="str">
        <f t="shared" si="3"/>
        <v/>
      </c>
      <c r="Q44" s="153"/>
      <c r="R44" s="154"/>
      <c r="S44" s="156" t="str">
        <f t="shared" si="4"/>
        <v/>
      </c>
      <c r="T44" s="156" t="str">
        <f t="shared" si="5"/>
        <v/>
      </c>
      <c r="V44" s="153"/>
      <c r="W44" s="154"/>
      <c r="X44" s="157" t="str">
        <f t="shared" si="6"/>
        <v/>
      </c>
      <c r="Y44" s="157" t="str">
        <f t="shared" si="7"/>
        <v/>
      </c>
      <c r="AA44" s="153"/>
      <c r="AB44" s="154"/>
      <c r="AC44" s="158" t="str">
        <f t="shared" si="8"/>
        <v/>
      </c>
      <c r="AD44" s="158" t="str">
        <f t="shared" si="9"/>
        <v/>
      </c>
      <c r="AF44" s="153"/>
      <c r="AG44" s="154"/>
      <c r="AH44" s="159" t="str">
        <f t="shared" si="10"/>
        <v/>
      </c>
      <c r="AI44" s="159" t="str">
        <f t="shared" si="11"/>
        <v/>
      </c>
    </row>
    <row r="45" spans="2:35">
      <c r="B45" s="153"/>
      <c r="C45" s="154"/>
      <c r="D45" s="175" t="str">
        <f>IF(ISBLANK(C45),"",SUMIF($AN$5:$AN$1004,B45,$AO$5:$AO$1004))</f>
        <v/>
      </c>
      <c r="E45" s="175" t="str">
        <f t="shared" si="0"/>
        <v/>
      </c>
      <c r="G45" s="153"/>
      <c r="H45" s="154"/>
      <c r="I45" s="185" t="str">
        <f>IF(ISBLANK(H45),"",SUMIF($AN$5:$AN$1004,G45,$AO$5:$AO$1004))</f>
        <v/>
      </c>
      <c r="J45" s="185" t="str">
        <f t="shared" si="1"/>
        <v/>
      </c>
      <c r="L45" s="153"/>
      <c r="M45" s="154"/>
      <c r="N45" s="155" t="str">
        <f t="shared" si="2"/>
        <v/>
      </c>
      <c r="O45" s="155" t="str">
        <f t="shared" si="3"/>
        <v/>
      </c>
      <c r="Q45" s="153"/>
      <c r="R45" s="154"/>
      <c r="S45" s="156" t="str">
        <f t="shared" si="4"/>
        <v/>
      </c>
      <c r="T45" s="156" t="str">
        <f t="shared" si="5"/>
        <v/>
      </c>
      <c r="V45" s="153"/>
      <c r="W45" s="154"/>
      <c r="X45" s="157" t="str">
        <f t="shared" si="6"/>
        <v/>
      </c>
      <c r="Y45" s="157" t="str">
        <f t="shared" si="7"/>
        <v/>
      </c>
      <c r="AA45" s="153"/>
      <c r="AB45" s="154"/>
      <c r="AC45" s="158" t="str">
        <f t="shared" si="8"/>
        <v/>
      </c>
      <c r="AD45" s="158" t="str">
        <f t="shared" si="9"/>
        <v/>
      </c>
      <c r="AF45" s="153"/>
      <c r="AG45" s="154"/>
      <c r="AH45" s="159" t="str">
        <f t="shared" si="10"/>
        <v/>
      </c>
      <c r="AI45" s="159" t="str">
        <f t="shared" si="11"/>
        <v/>
      </c>
    </row>
    <row r="46" spans="2:35">
      <c r="B46" s="153"/>
      <c r="C46" s="154"/>
      <c r="D46" s="175" t="str">
        <f>IF(ISBLANK(C46),"",SUMIF($AN$5:$AN$1004,B46,$AO$5:$AO$1004))</f>
        <v/>
      </c>
      <c r="E46" s="175" t="str">
        <f t="shared" si="0"/>
        <v/>
      </c>
      <c r="G46" s="153"/>
      <c r="H46" s="154"/>
      <c r="I46" s="185" t="str">
        <f>IF(ISBLANK(H46),"",SUMIF($AN$5:$AN$1004,G46,$AO$5:$AO$1004))</f>
        <v/>
      </c>
      <c r="J46" s="185" t="str">
        <f t="shared" si="1"/>
        <v/>
      </c>
      <c r="L46" s="153"/>
      <c r="M46" s="154"/>
      <c r="N46" s="155" t="str">
        <f t="shared" si="2"/>
        <v/>
      </c>
      <c r="O46" s="155" t="str">
        <f t="shared" si="3"/>
        <v/>
      </c>
      <c r="Q46" s="153"/>
      <c r="R46" s="154"/>
      <c r="S46" s="156" t="str">
        <f t="shared" si="4"/>
        <v/>
      </c>
      <c r="T46" s="156" t="str">
        <f t="shared" si="5"/>
        <v/>
      </c>
      <c r="V46" s="153"/>
      <c r="W46" s="154"/>
      <c r="X46" s="157" t="str">
        <f t="shared" si="6"/>
        <v/>
      </c>
      <c r="Y46" s="157" t="str">
        <f t="shared" si="7"/>
        <v/>
      </c>
      <c r="AA46" s="153"/>
      <c r="AB46" s="154"/>
      <c r="AC46" s="158" t="str">
        <f t="shared" si="8"/>
        <v/>
      </c>
      <c r="AD46" s="158" t="str">
        <f t="shared" si="9"/>
        <v/>
      </c>
      <c r="AF46" s="153"/>
      <c r="AG46" s="154"/>
      <c r="AH46" s="159" t="str">
        <f t="shared" si="10"/>
        <v/>
      </c>
      <c r="AI46" s="159" t="str">
        <f t="shared" si="11"/>
        <v/>
      </c>
    </row>
    <row r="47" spans="2:35">
      <c r="B47" s="153"/>
      <c r="C47" s="154"/>
      <c r="D47" s="175" t="str">
        <f>IF(ISBLANK(C47),"",SUMIF($AN$5:$AN$1004,B47,$AO$5:$AO$1004))</f>
        <v/>
      </c>
      <c r="E47" s="175" t="str">
        <f t="shared" si="0"/>
        <v/>
      </c>
      <c r="G47" s="153"/>
      <c r="H47" s="154"/>
      <c r="I47" s="185" t="str">
        <f>IF(ISBLANK(H47),"",SUMIF($AN$5:$AN$1004,G47,$AO$5:$AO$1004))</f>
        <v/>
      </c>
      <c r="J47" s="185" t="str">
        <f t="shared" si="1"/>
        <v/>
      </c>
      <c r="L47" s="153"/>
      <c r="M47" s="154"/>
      <c r="N47" s="155" t="str">
        <f t="shared" si="2"/>
        <v/>
      </c>
      <c r="O47" s="155" t="str">
        <f t="shared" si="3"/>
        <v/>
      </c>
      <c r="Q47" s="153"/>
      <c r="R47" s="154"/>
      <c r="S47" s="156" t="str">
        <f t="shared" si="4"/>
        <v/>
      </c>
      <c r="T47" s="156" t="str">
        <f t="shared" si="5"/>
        <v/>
      </c>
      <c r="V47" s="153"/>
      <c r="W47" s="154"/>
      <c r="X47" s="157" t="str">
        <f t="shared" si="6"/>
        <v/>
      </c>
      <c r="Y47" s="157" t="str">
        <f t="shared" si="7"/>
        <v/>
      </c>
      <c r="AA47" s="153"/>
      <c r="AB47" s="154"/>
      <c r="AC47" s="158" t="str">
        <f t="shared" si="8"/>
        <v/>
      </c>
      <c r="AD47" s="158" t="str">
        <f t="shared" si="9"/>
        <v/>
      </c>
      <c r="AF47" s="153"/>
      <c r="AG47" s="154"/>
      <c r="AH47" s="159" t="str">
        <f t="shared" si="10"/>
        <v/>
      </c>
      <c r="AI47" s="159" t="str">
        <f t="shared" si="11"/>
        <v/>
      </c>
    </row>
    <row r="48" spans="2:35">
      <c r="B48" s="153"/>
      <c r="C48" s="154"/>
      <c r="D48" s="175" t="str">
        <f>IF(ISBLANK(C48),"",SUMIF($AN$5:$AN$1004,B48,$AO$5:$AO$1004))</f>
        <v/>
      </c>
      <c r="E48" s="175" t="str">
        <f t="shared" si="0"/>
        <v/>
      </c>
      <c r="G48" s="153"/>
      <c r="H48" s="154"/>
      <c r="I48" s="185" t="str">
        <f>IF(ISBLANK(H48),"",SUMIF($AN$5:$AN$1004,G48,$AO$5:$AO$1004))</f>
        <v/>
      </c>
      <c r="J48" s="185" t="str">
        <f t="shared" si="1"/>
        <v/>
      </c>
      <c r="L48" s="153"/>
      <c r="M48" s="154"/>
      <c r="N48" s="155" t="str">
        <f t="shared" si="2"/>
        <v/>
      </c>
      <c r="O48" s="155" t="str">
        <f t="shared" si="3"/>
        <v/>
      </c>
      <c r="Q48" s="153"/>
      <c r="R48" s="154"/>
      <c r="S48" s="156" t="str">
        <f t="shared" si="4"/>
        <v/>
      </c>
      <c r="T48" s="156" t="str">
        <f t="shared" si="5"/>
        <v/>
      </c>
      <c r="V48" s="153"/>
      <c r="W48" s="154"/>
      <c r="X48" s="157" t="str">
        <f t="shared" si="6"/>
        <v/>
      </c>
      <c r="Y48" s="157" t="str">
        <f t="shared" si="7"/>
        <v/>
      </c>
      <c r="AA48" s="153"/>
      <c r="AB48" s="154"/>
      <c r="AC48" s="158" t="str">
        <f t="shared" si="8"/>
        <v/>
      </c>
      <c r="AD48" s="158" t="str">
        <f t="shared" si="9"/>
        <v/>
      </c>
      <c r="AF48" s="153"/>
      <c r="AG48" s="154"/>
      <c r="AH48" s="159" t="str">
        <f t="shared" si="10"/>
        <v/>
      </c>
      <c r="AI48" s="159" t="str">
        <f t="shared" si="11"/>
        <v/>
      </c>
    </row>
    <row r="49" spans="2:35">
      <c r="B49" s="153"/>
      <c r="C49" s="154"/>
      <c r="D49" s="175" t="str">
        <f>IF(ISBLANK(C49),"",SUMIF($AN$5:$AN$1004,B49,$AO$5:$AO$1004))</f>
        <v/>
      </c>
      <c r="E49" s="175" t="str">
        <f t="shared" si="0"/>
        <v/>
      </c>
      <c r="G49" s="153"/>
      <c r="H49" s="154"/>
      <c r="I49" s="185" t="str">
        <f>IF(ISBLANK(H49),"",SUMIF($AN$5:$AN$1004,G49,$AO$5:$AO$1004))</f>
        <v/>
      </c>
      <c r="J49" s="185" t="str">
        <f t="shared" si="1"/>
        <v/>
      </c>
      <c r="L49" s="153"/>
      <c r="M49" s="154"/>
      <c r="N49" s="155" t="str">
        <f t="shared" si="2"/>
        <v/>
      </c>
      <c r="O49" s="155" t="str">
        <f t="shared" si="3"/>
        <v/>
      </c>
      <c r="Q49" s="153"/>
      <c r="R49" s="154"/>
      <c r="S49" s="156" t="str">
        <f t="shared" si="4"/>
        <v/>
      </c>
      <c r="T49" s="156" t="str">
        <f t="shared" si="5"/>
        <v/>
      </c>
      <c r="V49" s="153"/>
      <c r="W49" s="154"/>
      <c r="X49" s="157" t="str">
        <f t="shared" si="6"/>
        <v/>
      </c>
      <c r="Y49" s="157" t="str">
        <f t="shared" si="7"/>
        <v/>
      </c>
      <c r="AA49" s="153"/>
      <c r="AB49" s="154"/>
      <c r="AC49" s="158" t="str">
        <f t="shared" si="8"/>
        <v/>
      </c>
      <c r="AD49" s="158" t="str">
        <f t="shared" si="9"/>
        <v/>
      </c>
      <c r="AF49" s="153"/>
      <c r="AG49" s="154"/>
      <c r="AH49" s="159" t="str">
        <f t="shared" si="10"/>
        <v/>
      </c>
      <c r="AI49" s="159" t="str">
        <f t="shared" si="11"/>
        <v/>
      </c>
    </row>
    <row r="50" spans="2:35">
      <c r="B50" s="153"/>
      <c r="C50" s="154"/>
      <c r="D50" s="175" t="str">
        <f>IF(ISBLANK(C50),"",SUMIF($AN$5:$AN$1004,B50,$AO$5:$AO$1004))</f>
        <v/>
      </c>
      <c r="E50" s="175" t="str">
        <f t="shared" si="0"/>
        <v/>
      </c>
      <c r="G50" s="153"/>
      <c r="H50" s="154"/>
      <c r="I50" s="185" t="str">
        <f>IF(ISBLANK(H50),"",SUMIF($AN$5:$AN$1004,G50,$AO$5:$AO$1004))</f>
        <v/>
      </c>
      <c r="J50" s="185" t="str">
        <f t="shared" si="1"/>
        <v/>
      </c>
      <c r="L50" s="153"/>
      <c r="M50" s="154"/>
      <c r="N50" s="155" t="str">
        <f t="shared" si="2"/>
        <v/>
      </c>
      <c r="O50" s="155" t="str">
        <f t="shared" si="3"/>
        <v/>
      </c>
      <c r="Q50" s="153"/>
      <c r="R50" s="154"/>
      <c r="S50" s="156" t="str">
        <f t="shared" si="4"/>
        <v/>
      </c>
      <c r="T50" s="156" t="str">
        <f t="shared" si="5"/>
        <v/>
      </c>
      <c r="V50" s="153"/>
      <c r="W50" s="154"/>
      <c r="X50" s="157" t="str">
        <f t="shared" si="6"/>
        <v/>
      </c>
      <c r="Y50" s="157" t="str">
        <f t="shared" si="7"/>
        <v/>
      </c>
      <c r="AA50" s="153"/>
      <c r="AB50" s="154"/>
      <c r="AC50" s="158" t="str">
        <f t="shared" si="8"/>
        <v/>
      </c>
      <c r="AD50" s="158" t="str">
        <f t="shared" si="9"/>
        <v/>
      </c>
      <c r="AF50" s="153"/>
      <c r="AG50" s="154"/>
      <c r="AH50" s="159" t="str">
        <f t="shared" si="10"/>
        <v/>
      </c>
      <c r="AI50" s="159" t="str">
        <f t="shared" si="11"/>
        <v/>
      </c>
    </row>
    <row r="51" spans="2:35">
      <c r="B51" s="153"/>
      <c r="C51" s="154"/>
      <c r="D51" s="175" t="str">
        <f>IF(ISBLANK(C51),"",SUMIF($AN$5:$AN$1004,B51,$AO$5:$AO$1004))</f>
        <v/>
      </c>
      <c r="E51" s="175" t="str">
        <f t="shared" si="0"/>
        <v/>
      </c>
      <c r="G51" s="153"/>
      <c r="H51" s="154"/>
      <c r="I51" s="185" t="str">
        <f>IF(ISBLANK(H51),"",SUMIF($AN$5:$AN$1004,G51,$AO$5:$AO$1004))</f>
        <v/>
      </c>
      <c r="J51" s="185" t="str">
        <f t="shared" si="1"/>
        <v/>
      </c>
      <c r="L51" s="153"/>
      <c r="M51" s="154"/>
      <c r="N51" s="155" t="str">
        <f t="shared" si="2"/>
        <v/>
      </c>
      <c r="O51" s="155" t="str">
        <f t="shared" si="3"/>
        <v/>
      </c>
      <c r="Q51" s="153"/>
      <c r="R51" s="154"/>
      <c r="S51" s="156" t="str">
        <f t="shared" si="4"/>
        <v/>
      </c>
      <c r="T51" s="156" t="str">
        <f t="shared" si="5"/>
        <v/>
      </c>
      <c r="V51" s="153"/>
      <c r="W51" s="154"/>
      <c r="X51" s="157" t="str">
        <f t="shared" si="6"/>
        <v/>
      </c>
      <c r="Y51" s="157" t="str">
        <f t="shared" si="7"/>
        <v/>
      </c>
      <c r="AA51" s="153"/>
      <c r="AB51" s="154"/>
      <c r="AC51" s="158" t="str">
        <f t="shared" si="8"/>
        <v/>
      </c>
      <c r="AD51" s="158" t="str">
        <f t="shared" si="9"/>
        <v/>
      </c>
      <c r="AF51" s="153"/>
      <c r="AG51" s="154"/>
      <c r="AH51" s="159" t="str">
        <f t="shared" si="10"/>
        <v/>
      </c>
      <c r="AI51" s="159" t="str">
        <f t="shared" si="11"/>
        <v/>
      </c>
    </row>
    <row r="52" spans="2:35">
      <c r="B52" s="153"/>
      <c r="C52" s="154"/>
      <c r="D52" s="175" t="str">
        <f>IF(ISBLANK(C52),"",SUMIF($AN$5:$AN$1004,B52,$AO$5:$AO$1004))</f>
        <v/>
      </c>
      <c r="E52" s="175" t="str">
        <f t="shared" si="0"/>
        <v/>
      </c>
      <c r="G52" s="153"/>
      <c r="H52" s="154"/>
      <c r="I52" s="185" t="str">
        <f>IF(ISBLANK(H52),"",SUMIF($AN$5:$AN$1004,G52,$AO$5:$AO$1004))</f>
        <v/>
      </c>
      <c r="J52" s="185" t="str">
        <f t="shared" si="1"/>
        <v/>
      </c>
      <c r="L52" s="153"/>
      <c r="M52" s="154"/>
      <c r="N52" s="155" t="str">
        <f t="shared" si="2"/>
        <v/>
      </c>
      <c r="O52" s="155" t="str">
        <f t="shared" si="3"/>
        <v/>
      </c>
      <c r="Q52" s="153"/>
      <c r="R52" s="154"/>
      <c r="S52" s="156" t="str">
        <f t="shared" si="4"/>
        <v/>
      </c>
      <c r="T52" s="156" t="str">
        <f t="shared" si="5"/>
        <v/>
      </c>
      <c r="V52" s="153"/>
      <c r="W52" s="154"/>
      <c r="X52" s="157" t="str">
        <f t="shared" si="6"/>
        <v/>
      </c>
      <c r="Y52" s="157" t="str">
        <f t="shared" si="7"/>
        <v/>
      </c>
      <c r="AA52" s="153"/>
      <c r="AB52" s="154"/>
      <c r="AC52" s="158" t="str">
        <f t="shared" si="8"/>
        <v/>
      </c>
      <c r="AD52" s="158" t="str">
        <f t="shared" si="9"/>
        <v/>
      </c>
      <c r="AF52" s="153"/>
      <c r="AG52" s="154"/>
      <c r="AH52" s="159" t="str">
        <f t="shared" si="10"/>
        <v/>
      </c>
      <c r="AI52" s="159" t="str">
        <f t="shared" si="11"/>
        <v/>
      </c>
    </row>
    <row r="53" spans="2:35">
      <c r="B53" s="153"/>
      <c r="C53" s="154"/>
      <c r="D53" s="175" t="str">
        <f>IF(ISBLANK(C53),"",SUMIF($AN$5:$AN$1004,B53,$AO$5:$AO$1004))</f>
        <v/>
      </c>
      <c r="E53" s="175" t="str">
        <f t="shared" si="0"/>
        <v/>
      </c>
      <c r="G53" s="153"/>
      <c r="H53" s="154"/>
      <c r="I53" s="185" t="str">
        <f>IF(ISBLANK(H53),"",SUMIF($AN$5:$AN$1004,G53,$AO$5:$AO$1004))</f>
        <v/>
      </c>
      <c r="J53" s="185" t="str">
        <f t="shared" si="1"/>
        <v/>
      </c>
      <c r="L53" s="153"/>
      <c r="M53" s="154"/>
      <c r="N53" s="155" t="str">
        <f t="shared" si="2"/>
        <v/>
      </c>
      <c r="O53" s="155" t="str">
        <f t="shared" si="3"/>
        <v/>
      </c>
      <c r="Q53" s="153"/>
      <c r="R53" s="154"/>
      <c r="S53" s="156" t="str">
        <f t="shared" si="4"/>
        <v/>
      </c>
      <c r="T53" s="156" t="str">
        <f t="shared" si="5"/>
        <v/>
      </c>
      <c r="V53" s="153"/>
      <c r="W53" s="154"/>
      <c r="X53" s="157" t="str">
        <f t="shared" si="6"/>
        <v/>
      </c>
      <c r="Y53" s="157" t="str">
        <f t="shared" si="7"/>
        <v/>
      </c>
      <c r="AA53" s="153"/>
      <c r="AB53" s="154"/>
      <c r="AC53" s="158" t="str">
        <f t="shared" si="8"/>
        <v/>
      </c>
      <c r="AD53" s="158" t="str">
        <f t="shared" si="9"/>
        <v/>
      </c>
      <c r="AF53" s="153"/>
      <c r="AG53" s="154"/>
      <c r="AH53" s="159" t="str">
        <f t="shared" si="10"/>
        <v/>
      </c>
      <c r="AI53" s="159" t="str">
        <f t="shared" si="11"/>
        <v/>
      </c>
    </row>
    <row r="54" spans="2:35">
      <c r="B54" s="153"/>
      <c r="C54" s="154"/>
      <c r="D54" s="175" t="str">
        <f>IF(ISBLANK(C54),"",SUMIF($AN$5:$AN$1004,B54,$AO$5:$AO$1004))</f>
        <v/>
      </c>
      <c r="E54" s="175" t="str">
        <f t="shared" si="0"/>
        <v/>
      </c>
      <c r="G54" s="153"/>
      <c r="H54" s="154"/>
      <c r="I54" s="185" t="str">
        <f>IF(ISBLANK(H54),"",SUMIF($AN$5:$AN$1004,G54,$AO$5:$AO$1004))</f>
        <v/>
      </c>
      <c r="J54" s="185" t="str">
        <f t="shared" si="1"/>
        <v/>
      </c>
      <c r="L54" s="153"/>
      <c r="M54" s="154"/>
      <c r="N54" s="155" t="str">
        <f t="shared" si="2"/>
        <v/>
      </c>
      <c r="O54" s="155" t="str">
        <f t="shared" si="3"/>
        <v/>
      </c>
      <c r="Q54" s="153"/>
      <c r="R54" s="154"/>
      <c r="S54" s="156" t="str">
        <f t="shared" si="4"/>
        <v/>
      </c>
      <c r="T54" s="156" t="str">
        <f t="shared" si="5"/>
        <v/>
      </c>
      <c r="V54" s="153"/>
      <c r="W54" s="154"/>
      <c r="X54" s="157" t="str">
        <f t="shared" si="6"/>
        <v/>
      </c>
      <c r="Y54" s="157" t="str">
        <f t="shared" si="7"/>
        <v/>
      </c>
      <c r="AA54" s="153"/>
      <c r="AB54" s="154"/>
      <c r="AC54" s="158" t="str">
        <f t="shared" si="8"/>
        <v/>
      </c>
      <c r="AD54" s="158" t="str">
        <f t="shared" si="9"/>
        <v/>
      </c>
      <c r="AF54" s="153"/>
      <c r="AG54" s="154"/>
      <c r="AH54" s="159" t="str">
        <f t="shared" si="10"/>
        <v/>
      </c>
      <c r="AI54" s="159" t="str">
        <f t="shared" si="11"/>
        <v/>
      </c>
    </row>
    <row r="55" spans="2:35">
      <c r="B55" s="153"/>
      <c r="C55" s="154"/>
      <c r="D55" s="175" t="str">
        <f>IF(ISBLANK(C55),"",SUMIF($AN$5:$AN$1004,B55,$AO$5:$AO$1004))</f>
        <v/>
      </c>
      <c r="E55" s="175" t="str">
        <f t="shared" si="0"/>
        <v/>
      </c>
      <c r="G55" s="153"/>
      <c r="H55" s="154"/>
      <c r="I55" s="185" t="str">
        <f>IF(ISBLANK(H55),"",SUMIF($AN$5:$AN$1004,G55,$AO$5:$AO$1004))</f>
        <v/>
      </c>
      <c r="J55" s="185" t="str">
        <f t="shared" si="1"/>
        <v/>
      </c>
      <c r="L55" s="153"/>
      <c r="M55" s="154"/>
      <c r="N55" s="155" t="str">
        <f t="shared" si="2"/>
        <v/>
      </c>
      <c r="O55" s="155" t="str">
        <f t="shared" si="3"/>
        <v/>
      </c>
      <c r="Q55" s="153"/>
      <c r="R55" s="154"/>
      <c r="S55" s="156" t="str">
        <f t="shared" si="4"/>
        <v/>
      </c>
      <c r="T55" s="156" t="str">
        <f t="shared" si="5"/>
        <v/>
      </c>
      <c r="V55" s="153"/>
      <c r="W55" s="154"/>
      <c r="X55" s="157" t="str">
        <f t="shared" si="6"/>
        <v/>
      </c>
      <c r="Y55" s="157" t="str">
        <f t="shared" si="7"/>
        <v/>
      </c>
      <c r="AA55" s="153"/>
      <c r="AB55" s="154"/>
      <c r="AC55" s="158" t="str">
        <f t="shared" si="8"/>
        <v/>
      </c>
      <c r="AD55" s="158" t="str">
        <f t="shared" si="9"/>
        <v/>
      </c>
      <c r="AF55" s="153"/>
      <c r="AG55" s="154"/>
      <c r="AH55" s="159" t="str">
        <f t="shared" si="10"/>
        <v/>
      </c>
      <c r="AI55" s="159" t="str">
        <f t="shared" si="11"/>
        <v/>
      </c>
    </row>
    <row r="56" spans="2:35">
      <c r="B56" s="153"/>
      <c r="C56" s="154"/>
      <c r="D56" s="175" t="str">
        <f>IF(ISBLANK(C56),"",SUMIF($AN$5:$AN$1004,B56,$AO$5:$AO$1004))</f>
        <v/>
      </c>
      <c r="E56" s="175" t="str">
        <f t="shared" si="0"/>
        <v/>
      </c>
      <c r="G56" s="153"/>
      <c r="H56" s="154"/>
      <c r="I56" s="185" t="str">
        <f>IF(ISBLANK(H56),"",SUMIF($AN$5:$AN$1004,G56,$AO$5:$AO$1004))</f>
        <v/>
      </c>
      <c r="J56" s="185" t="str">
        <f t="shared" si="1"/>
        <v/>
      </c>
      <c r="L56" s="153"/>
      <c r="M56" s="154"/>
      <c r="N56" s="155" t="str">
        <f t="shared" si="2"/>
        <v/>
      </c>
      <c r="O56" s="155" t="str">
        <f t="shared" si="3"/>
        <v/>
      </c>
      <c r="Q56" s="153"/>
      <c r="R56" s="154"/>
      <c r="S56" s="156" t="str">
        <f t="shared" si="4"/>
        <v/>
      </c>
      <c r="T56" s="156" t="str">
        <f t="shared" si="5"/>
        <v/>
      </c>
      <c r="V56" s="153"/>
      <c r="W56" s="154"/>
      <c r="X56" s="157" t="str">
        <f t="shared" si="6"/>
        <v/>
      </c>
      <c r="Y56" s="157" t="str">
        <f t="shared" si="7"/>
        <v/>
      </c>
      <c r="AA56" s="153"/>
      <c r="AB56" s="154"/>
      <c r="AC56" s="158" t="str">
        <f t="shared" si="8"/>
        <v/>
      </c>
      <c r="AD56" s="158" t="str">
        <f t="shared" si="9"/>
        <v/>
      </c>
      <c r="AF56" s="153"/>
      <c r="AG56" s="154"/>
      <c r="AH56" s="159" t="str">
        <f t="shared" si="10"/>
        <v/>
      </c>
      <c r="AI56" s="159" t="str">
        <f t="shared" si="11"/>
        <v/>
      </c>
    </row>
    <row r="57" spans="2:35">
      <c r="B57" s="153"/>
      <c r="C57" s="154"/>
      <c r="D57" s="175" t="str">
        <f>IF(ISBLANK(C57),"",SUMIF($AN$5:$AN$1004,B57,$AO$5:$AO$1004))</f>
        <v/>
      </c>
      <c r="E57" s="175" t="str">
        <f t="shared" si="0"/>
        <v/>
      </c>
      <c r="G57" s="153"/>
      <c r="H57" s="154"/>
      <c r="I57" s="185" t="str">
        <f>IF(ISBLANK(H57),"",SUMIF($AN$5:$AN$1004,G57,$AO$5:$AO$1004))</f>
        <v/>
      </c>
      <c r="J57" s="185" t="str">
        <f t="shared" si="1"/>
        <v/>
      </c>
      <c r="L57" s="153"/>
      <c r="M57" s="154"/>
      <c r="N57" s="155" t="str">
        <f t="shared" si="2"/>
        <v/>
      </c>
      <c r="O57" s="155" t="str">
        <f t="shared" si="3"/>
        <v/>
      </c>
      <c r="Q57" s="153"/>
      <c r="R57" s="154"/>
      <c r="S57" s="156" t="str">
        <f t="shared" si="4"/>
        <v/>
      </c>
      <c r="T57" s="156" t="str">
        <f t="shared" si="5"/>
        <v/>
      </c>
      <c r="V57" s="153"/>
      <c r="W57" s="154"/>
      <c r="X57" s="157" t="str">
        <f t="shared" si="6"/>
        <v/>
      </c>
      <c r="Y57" s="157" t="str">
        <f t="shared" si="7"/>
        <v/>
      </c>
      <c r="AA57" s="153"/>
      <c r="AB57" s="154"/>
      <c r="AC57" s="158" t="str">
        <f t="shared" si="8"/>
        <v/>
      </c>
      <c r="AD57" s="158" t="str">
        <f t="shared" si="9"/>
        <v/>
      </c>
      <c r="AF57" s="153"/>
      <c r="AG57" s="154"/>
      <c r="AH57" s="159" t="str">
        <f t="shared" si="10"/>
        <v/>
      </c>
      <c r="AI57" s="159" t="str">
        <f t="shared" si="11"/>
        <v/>
      </c>
    </row>
    <row r="58" spans="2:35">
      <c r="B58" s="153"/>
      <c r="C58" s="154"/>
      <c r="D58" s="175" t="str">
        <f>IF(ISBLANK(C58),"",SUMIF($AN$5:$AN$1004,B58,$AO$5:$AO$1004))</f>
        <v/>
      </c>
      <c r="E58" s="175" t="str">
        <f t="shared" si="0"/>
        <v/>
      </c>
      <c r="G58" s="153"/>
      <c r="H58" s="154"/>
      <c r="I58" s="185" t="str">
        <f>IF(ISBLANK(H58),"",SUMIF($AN$5:$AN$1004,G58,$AO$5:$AO$1004))</f>
        <v/>
      </c>
      <c r="J58" s="185" t="str">
        <f t="shared" si="1"/>
        <v/>
      </c>
      <c r="L58" s="153"/>
      <c r="M58" s="154"/>
      <c r="N58" s="155" t="str">
        <f t="shared" si="2"/>
        <v/>
      </c>
      <c r="O58" s="155" t="str">
        <f t="shared" si="3"/>
        <v/>
      </c>
      <c r="Q58" s="153"/>
      <c r="R58" s="154"/>
      <c r="S58" s="156" t="str">
        <f t="shared" si="4"/>
        <v/>
      </c>
      <c r="T58" s="156" t="str">
        <f t="shared" si="5"/>
        <v/>
      </c>
      <c r="V58" s="153"/>
      <c r="W58" s="154"/>
      <c r="X58" s="157" t="str">
        <f t="shared" si="6"/>
        <v/>
      </c>
      <c r="Y58" s="157" t="str">
        <f t="shared" si="7"/>
        <v/>
      </c>
      <c r="AA58" s="153"/>
      <c r="AB58" s="154"/>
      <c r="AC58" s="158" t="str">
        <f t="shared" si="8"/>
        <v/>
      </c>
      <c r="AD58" s="158" t="str">
        <f t="shared" si="9"/>
        <v/>
      </c>
      <c r="AF58" s="153"/>
      <c r="AG58" s="154"/>
      <c r="AH58" s="159" t="str">
        <f t="shared" si="10"/>
        <v/>
      </c>
      <c r="AI58" s="159" t="str">
        <f t="shared" si="11"/>
        <v/>
      </c>
    </row>
    <row r="59" spans="2:35">
      <c r="B59" s="153"/>
      <c r="C59" s="154"/>
      <c r="D59" s="175" t="str">
        <f>IF(ISBLANK(C59),"",SUMIF($AN$5:$AN$1004,B59,$AO$5:$AO$1004))</f>
        <v/>
      </c>
      <c r="E59" s="175" t="str">
        <f t="shared" si="0"/>
        <v/>
      </c>
      <c r="G59" s="153"/>
      <c r="H59" s="154"/>
      <c r="I59" s="185" t="str">
        <f>IF(ISBLANK(H59),"",SUMIF($AN$5:$AN$1004,G59,$AO$5:$AO$1004))</f>
        <v/>
      </c>
      <c r="J59" s="185" t="str">
        <f t="shared" si="1"/>
        <v/>
      </c>
      <c r="L59" s="153"/>
      <c r="M59" s="154"/>
      <c r="N59" s="155" t="str">
        <f t="shared" si="2"/>
        <v/>
      </c>
      <c r="O59" s="155" t="str">
        <f t="shared" si="3"/>
        <v/>
      </c>
      <c r="Q59" s="153"/>
      <c r="R59" s="154"/>
      <c r="S59" s="156" t="str">
        <f t="shared" si="4"/>
        <v/>
      </c>
      <c r="T59" s="156" t="str">
        <f t="shared" si="5"/>
        <v/>
      </c>
      <c r="V59" s="153"/>
      <c r="W59" s="154"/>
      <c r="X59" s="157" t="str">
        <f t="shared" si="6"/>
        <v/>
      </c>
      <c r="Y59" s="157" t="str">
        <f t="shared" si="7"/>
        <v/>
      </c>
      <c r="AA59" s="153"/>
      <c r="AB59" s="154"/>
      <c r="AC59" s="158" t="str">
        <f t="shared" si="8"/>
        <v/>
      </c>
      <c r="AD59" s="158" t="str">
        <f t="shared" si="9"/>
        <v/>
      </c>
      <c r="AF59" s="153"/>
      <c r="AG59" s="154"/>
      <c r="AH59" s="159" t="str">
        <f t="shared" si="10"/>
        <v/>
      </c>
      <c r="AI59" s="159" t="str">
        <f t="shared" si="11"/>
        <v/>
      </c>
    </row>
    <row r="60" spans="2:35">
      <c r="B60" s="153"/>
      <c r="C60" s="154"/>
      <c r="D60" s="175" t="str">
        <f>IF(ISBLANK(C60),"",SUMIF($AN$5:$AN$1004,B60,$AO$5:$AO$1004))</f>
        <v/>
      </c>
      <c r="E60" s="175" t="str">
        <f t="shared" si="0"/>
        <v/>
      </c>
      <c r="G60" s="153"/>
      <c r="H60" s="154"/>
      <c r="I60" s="185" t="str">
        <f>IF(ISBLANK(H60),"",SUMIF($AN$5:$AN$1004,G60,$AO$5:$AO$1004))</f>
        <v/>
      </c>
      <c r="J60" s="185" t="str">
        <f t="shared" si="1"/>
        <v/>
      </c>
      <c r="L60" s="153"/>
      <c r="M60" s="154"/>
      <c r="N60" s="155" t="str">
        <f t="shared" si="2"/>
        <v/>
      </c>
      <c r="O60" s="155" t="str">
        <f t="shared" si="3"/>
        <v/>
      </c>
      <c r="Q60" s="153"/>
      <c r="R60" s="154"/>
      <c r="S60" s="156" t="str">
        <f t="shared" si="4"/>
        <v/>
      </c>
      <c r="T60" s="156" t="str">
        <f t="shared" si="5"/>
        <v/>
      </c>
      <c r="V60" s="153"/>
      <c r="W60" s="154"/>
      <c r="X60" s="157" t="str">
        <f t="shared" si="6"/>
        <v/>
      </c>
      <c r="Y60" s="157" t="str">
        <f t="shared" si="7"/>
        <v/>
      </c>
      <c r="AA60" s="153"/>
      <c r="AB60" s="154"/>
      <c r="AC60" s="158" t="str">
        <f t="shared" si="8"/>
        <v/>
      </c>
      <c r="AD60" s="158" t="str">
        <f t="shared" si="9"/>
        <v/>
      </c>
      <c r="AF60" s="153"/>
      <c r="AG60" s="154"/>
      <c r="AH60" s="159" t="str">
        <f t="shared" si="10"/>
        <v/>
      </c>
      <c r="AI60" s="159" t="str">
        <f t="shared" si="11"/>
        <v/>
      </c>
    </row>
    <row r="61" spans="2:35">
      <c r="B61" s="153"/>
      <c r="C61" s="154"/>
      <c r="D61" s="175" t="str">
        <f>IF(ISBLANK(C61),"",SUMIF($AN$5:$AN$1004,B61,$AO$5:$AO$1004))</f>
        <v/>
      </c>
      <c r="E61" s="175" t="str">
        <f t="shared" si="0"/>
        <v/>
      </c>
      <c r="G61" s="153"/>
      <c r="H61" s="154"/>
      <c r="I61" s="185" t="str">
        <f>IF(ISBLANK(H61),"",SUMIF($AN$5:$AN$1004,G61,$AO$5:$AO$1004))</f>
        <v/>
      </c>
      <c r="J61" s="185" t="str">
        <f t="shared" si="1"/>
        <v/>
      </c>
      <c r="L61" s="153"/>
      <c r="M61" s="154"/>
      <c r="N61" s="155" t="str">
        <f t="shared" si="2"/>
        <v/>
      </c>
      <c r="O61" s="155" t="str">
        <f t="shared" si="3"/>
        <v/>
      </c>
      <c r="Q61" s="153"/>
      <c r="R61" s="154"/>
      <c r="S61" s="156" t="str">
        <f t="shared" si="4"/>
        <v/>
      </c>
      <c r="T61" s="156" t="str">
        <f t="shared" si="5"/>
        <v/>
      </c>
      <c r="V61" s="153"/>
      <c r="W61" s="154"/>
      <c r="X61" s="157" t="str">
        <f t="shared" si="6"/>
        <v/>
      </c>
      <c r="Y61" s="157" t="str">
        <f t="shared" si="7"/>
        <v/>
      </c>
      <c r="AA61" s="153"/>
      <c r="AB61" s="154"/>
      <c r="AC61" s="158" t="str">
        <f t="shared" si="8"/>
        <v/>
      </c>
      <c r="AD61" s="158" t="str">
        <f t="shared" si="9"/>
        <v/>
      </c>
      <c r="AF61" s="153"/>
      <c r="AG61" s="154"/>
      <c r="AH61" s="159" t="str">
        <f t="shared" si="10"/>
        <v/>
      </c>
      <c r="AI61" s="159" t="str">
        <f t="shared" si="11"/>
        <v/>
      </c>
    </row>
    <row r="62" spans="2:35">
      <c r="B62" s="153"/>
      <c r="C62" s="154"/>
      <c r="D62" s="175" t="str">
        <f>IF(ISBLANK(C62),"",SUMIF($AN$5:$AN$1004,B62,$AO$5:$AO$1004))</f>
        <v/>
      </c>
      <c r="E62" s="175" t="str">
        <f t="shared" si="0"/>
        <v/>
      </c>
      <c r="G62" s="153"/>
      <c r="H62" s="154"/>
      <c r="I62" s="185" t="str">
        <f>IF(ISBLANK(H62),"",SUMIF($AN$5:$AN$1004,G62,$AO$5:$AO$1004))</f>
        <v/>
      </c>
      <c r="J62" s="185" t="str">
        <f t="shared" si="1"/>
        <v/>
      </c>
      <c r="L62" s="153"/>
      <c r="M62" s="154"/>
      <c r="N62" s="155" t="str">
        <f t="shared" si="2"/>
        <v/>
      </c>
      <c r="O62" s="155" t="str">
        <f t="shared" si="3"/>
        <v/>
      </c>
      <c r="Q62" s="153"/>
      <c r="R62" s="154"/>
      <c r="S62" s="156" t="str">
        <f t="shared" si="4"/>
        <v/>
      </c>
      <c r="T62" s="156" t="str">
        <f t="shared" si="5"/>
        <v/>
      </c>
      <c r="V62" s="153"/>
      <c r="W62" s="154"/>
      <c r="X62" s="157" t="str">
        <f t="shared" si="6"/>
        <v/>
      </c>
      <c r="Y62" s="157" t="str">
        <f t="shared" si="7"/>
        <v/>
      </c>
      <c r="AA62" s="153"/>
      <c r="AB62" s="154"/>
      <c r="AC62" s="158" t="str">
        <f t="shared" si="8"/>
        <v/>
      </c>
      <c r="AD62" s="158" t="str">
        <f t="shared" si="9"/>
        <v/>
      </c>
      <c r="AF62" s="153"/>
      <c r="AG62" s="154"/>
      <c r="AH62" s="159" t="str">
        <f t="shared" si="10"/>
        <v/>
      </c>
      <c r="AI62" s="159" t="str">
        <f t="shared" si="11"/>
        <v/>
      </c>
    </row>
    <row r="63" spans="2:35">
      <c r="B63" s="153"/>
      <c r="C63" s="154"/>
      <c r="D63" s="175" t="str">
        <f>IF(ISBLANK(C63),"",SUMIF($AN$5:$AN$1004,B63,$AO$5:$AO$1004))</f>
        <v/>
      </c>
      <c r="E63" s="175" t="str">
        <f t="shared" si="0"/>
        <v/>
      </c>
      <c r="G63" s="153"/>
      <c r="H63" s="154"/>
      <c r="I63" s="185" t="str">
        <f>IF(ISBLANK(H63),"",SUMIF($AN$5:$AN$1004,G63,$AO$5:$AO$1004))</f>
        <v/>
      </c>
      <c r="J63" s="185" t="str">
        <f t="shared" si="1"/>
        <v/>
      </c>
      <c r="L63" s="153"/>
      <c r="M63" s="154"/>
      <c r="N63" s="155" t="str">
        <f t="shared" si="2"/>
        <v/>
      </c>
      <c r="O63" s="155" t="str">
        <f t="shared" si="3"/>
        <v/>
      </c>
      <c r="Q63" s="153"/>
      <c r="R63" s="154"/>
      <c r="S63" s="156" t="str">
        <f t="shared" si="4"/>
        <v/>
      </c>
      <c r="T63" s="156" t="str">
        <f t="shared" si="5"/>
        <v/>
      </c>
      <c r="V63" s="153"/>
      <c r="W63" s="154"/>
      <c r="X63" s="157" t="str">
        <f t="shared" si="6"/>
        <v/>
      </c>
      <c r="Y63" s="157" t="str">
        <f t="shared" si="7"/>
        <v/>
      </c>
      <c r="AA63" s="153"/>
      <c r="AB63" s="154"/>
      <c r="AC63" s="158" t="str">
        <f t="shared" si="8"/>
        <v/>
      </c>
      <c r="AD63" s="158" t="str">
        <f t="shared" si="9"/>
        <v/>
      </c>
      <c r="AF63" s="153"/>
      <c r="AG63" s="154"/>
      <c r="AH63" s="159" t="str">
        <f t="shared" si="10"/>
        <v/>
      </c>
      <c r="AI63" s="159" t="str">
        <f t="shared" si="11"/>
        <v/>
      </c>
    </row>
    <row r="64" spans="2:35">
      <c r="B64" s="153"/>
      <c r="C64" s="154"/>
      <c r="D64" s="175" t="str">
        <f>IF(ISBLANK(C64),"",SUMIF($AN$5:$AN$1004,B64,$AO$5:$AO$1004))</f>
        <v/>
      </c>
      <c r="E64" s="175" t="str">
        <f t="shared" si="0"/>
        <v/>
      </c>
      <c r="G64" s="153"/>
      <c r="H64" s="154"/>
      <c r="I64" s="185" t="str">
        <f>IF(ISBLANK(H64),"",SUMIF($AN$5:$AN$1004,G64,$AO$5:$AO$1004))</f>
        <v/>
      </c>
      <c r="J64" s="185" t="str">
        <f t="shared" si="1"/>
        <v/>
      </c>
      <c r="L64" s="153"/>
      <c r="M64" s="154"/>
      <c r="N64" s="155" t="str">
        <f t="shared" si="2"/>
        <v/>
      </c>
      <c r="O64" s="155" t="str">
        <f t="shared" si="3"/>
        <v/>
      </c>
      <c r="Q64" s="153"/>
      <c r="R64" s="154"/>
      <c r="S64" s="156" t="str">
        <f t="shared" si="4"/>
        <v/>
      </c>
      <c r="T64" s="156" t="str">
        <f t="shared" si="5"/>
        <v/>
      </c>
      <c r="V64" s="153"/>
      <c r="W64" s="154"/>
      <c r="X64" s="157" t="str">
        <f t="shared" si="6"/>
        <v/>
      </c>
      <c r="Y64" s="157" t="str">
        <f t="shared" si="7"/>
        <v/>
      </c>
      <c r="AA64" s="153"/>
      <c r="AB64" s="154"/>
      <c r="AC64" s="158" t="str">
        <f t="shared" si="8"/>
        <v/>
      </c>
      <c r="AD64" s="158" t="str">
        <f t="shared" si="9"/>
        <v/>
      </c>
      <c r="AF64" s="153"/>
      <c r="AG64" s="154"/>
      <c r="AH64" s="159" t="str">
        <f t="shared" si="10"/>
        <v/>
      </c>
      <c r="AI64" s="159" t="str">
        <f t="shared" si="11"/>
        <v/>
      </c>
    </row>
    <row r="65" spans="2:35">
      <c r="B65" s="153"/>
      <c r="C65" s="154"/>
      <c r="D65" s="175" t="str">
        <f>IF(ISBLANK(C65),"",SUMIF($AN$5:$AN$1004,B65,$AO$5:$AO$1004))</f>
        <v/>
      </c>
      <c r="E65" s="175" t="str">
        <f t="shared" si="0"/>
        <v/>
      </c>
      <c r="G65" s="153"/>
      <c r="H65" s="154"/>
      <c r="I65" s="185" t="str">
        <f>IF(ISBLANK(H65),"",SUMIF($AN$5:$AN$1004,G65,$AO$5:$AO$1004))</f>
        <v/>
      </c>
      <c r="J65" s="185" t="str">
        <f t="shared" si="1"/>
        <v/>
      </c>
      <c r="L65" s="153"/>
      <c r="M65" s="154"/>
      <c r="N65" s="155" t="str">
        <f t="shared" si="2"/>
        <v/>
      </c>
      <c r="O65" s="155" t="str">
        <f t="shared" si="3"/>
        <v/>
      </c>
      <c r="Q65" s="153"/>
      <c r="R65" s="154"/>
      <c r="S65" s="156" t="str">
        <f t="shared" si="4"/>
        <v/>
      </c>
      <c r="T65" s="156" t="str">
        <f t="shared" si="5"/>
        <v/>
      </c>
      <c r="V65" s="153"/>
      <c r="W65" s="154"/>
      <c r="X65" s="157" t="str">
        <f t="shared" si="6"/>
        <v/>
      </c>
      <c r="Y65" s="157" t="str">
        <f t="shared" si="7"/>
        <v/>
      </c>
      <c r="AA65" s="153"/>
      <c r="AB65" s="154"/>
      <c r="AC65" s="158" t="str">
        <f t="shared" si="8"/>
        <v/>
      </c>
      <c r="AD65" s="158" t="str">
        <f t="shared" si="9"/>
        <v/>
      </c>
      <c r="AF65" s="153"/>
      <c r="AG65" s="154"/>
      <c r="AH65" s="159" t="str">
        <f t="shared" si="10"/>
        <v/>
      </c>
      <c r="AI65" s="159" t="str">
        <f t="shared" si="11"/>
        <v/>
      </c>
    </row>
    <row r="66" spans="2:35">
      <c r="B66" s="153"/>
      <c r="C66" s="154"/>
      <c r="D66" s="175" t="str">
        <f>IF(ISBLANK(C66),"",SUMIF($AN$5:$AN$1004,B66,$AO$5:$AO$1004))</f>
        <v/>
      </c>
      <c r="E66" s="175" t="str">
        <f t="shared" si="0"/>
        <v/>
      </c>
      <c r="G66" s="153"/>
      <c r="H66" s="154"/>
      <c r="I66" s="185" t="str">
        <f>IF(ISBLANK(H66),"",SUMIF($AN$5:$AN$1004,G66,$AO$5:$AO$1004))</f>
        <v/>
      </c>
      <c r="J66" s="185" t="str">
        <f t="shared" si="1"/>
        <v/>
      </c>
      <c r="L66" s="153"/>
      <c r="M66" s="154"/>
      <c r="N66" s="155" t="str">
        <f t="shared" si="2"/>
        <v/>
      </c>
      <c r="O66" s="155" t="str">
        <f t="shared" si="3"/>
        <v/>
      </c>
      <c r="Q66" s="153"/>
      <c r="R66" s="154"/>
      <c r="S66" s="156" t="str">
        <f t="shared" si="4"/>
        <v/>
      </c>
      <c r="T66" s="156" t="str">
        <f t="shared" si="5"/>
        <v/>
      </c>
      <c r="V66" s="153"/>
      <c r="W66" s="154"/>
      <c r="X66" s="157" t="str">
        <f t="shared" si="6"/>
        <v/>
      </c>
      <c r="Y66" s="157" t="str">
        <f t="shared" si="7"/>
        <v/>
      </c>
      <c r="AA66" s="153"/>
      <c r="AB66" s="154"/>
      <c r="AC66" s="158" t="str">
        <f t="shared" si="8"/>
        <v/>
      </c>
      <c r="AD66" s="158" t="str">
        <f t="shared" si="9"/>
        <v/>
      </c>
      <c r="AF66" s="153"/>
      <c r="AG66" s="154"/>
      <c r="AH66" s="159" t="str">
        <f t="shared" si="10"/>
        <v/>
      </c>
      <c r="AI66" s="159" t="str">
        <f t="shared" si="11"/>
        <v/>
      </c>
    </row>
    <row r="67" spans="2:35">
      <c r="B67" s="153"/>
      <c r="C67" s="154"/>
      <c r="D67" s="175" t="str">
        <f>IF(ISBLANK(C67),"",SUMIF($AN$5:$AN$1004,B67,$AO$5:$AO$1004))</f>
        <v/>
      </c>
      <c r="E67" s="175" t="str">
        <f t="shared" si="0"/>
        <v/>
      </c>
      <c r="G67" s="153"/>
      <c r="H67" s="154"/>
      <c r="I67" s="185" t="str">
        <f>IF(ISBLANK(H67),"",SUMIF($AN$5:$AN$1004,G67,$AO$5:$AO$1004))</f>
        <v/>
      </c>
      <c r="J67" s="185" t="str">
        <f t="shared" si="1"/>
        <v/>
      </c>
      <c r="L67" s="153"/>
      <c r="M67" s="154"/>
      <c r="N67" s="155" t="str">
        <f t="shared" si="2"/>
        <v/>
      </c>
      <c r="O67" s="155" t="str">
        <f t="shared" si="3"/>
        <v/>
      </c>
      <c r="Q67" s="153"/>
      <c r="R67" s="154"/>
      <c r="S67" s="156" t="str">
        <f t="shared" si="4"/>
        <v/>
      </c>
      <c r="T67" s="156" t="str">
        <f t="shared" si="5"/>
        <v/>
      </c>
      <c r="V67" s="153"/>
      <c r="W67" s="154"/>
      <c r="X67" s="157" t="str">
        <f t="shared" si="6"/>
        <v/>
      </c>
      <c r="Y67" s="157" t="str">
        <f t="shared" si="7"/>
        <v/>
      </c>
      <c r="AA67" s="153"/>
      <c r="AB67" s="154"/>
      <c r="AC67" s="158" t="str">
        <f t="shared" si="8"/>
        <v/>
      </c>
      <c r="AD67" s="158" t="str">
        <f t="shared" si="9"/>
        <v/>
      </c>
      <c r="AF67" s="153"/>
      <c r="AG67" s="154"/>
      <c r="AH67" s="159" t="str">
        <f t="shared" si="10"/>
        <v/>
      </c>
      <c r="AI67" s="159" t="str">
        <f t="shared" si="11"/>
        <v/>
      </c>
    </row>
    <row r="68" spans="2:35">
      <c r="B68" s="153"/>
      <c r="C68" s="154"/>
      <c r="D68" s="175" t="str">
        <f>IF(ISBLANK(C68),"",SUMIF($AN$5:$AN$1004,B68,$AO$5:$AO$1004))</f>
        <v/>
      </c>
      <c r="E68" s="175" t="str">
        <f t="shared" si="0"/>
        <v/>
      </c>
      <c r="G68" s="153"/>
      <c r="H68" s="154"/>
      <c r="I68" s="185" t="str">
        <f>IF(ISBLANK(H68),"",SUMIF($AN$5:$AN$1004,G68,$AO$5:$AO$1004))</f>
        <v/>
      </c>
      <c r="J68" s="185" t="str">
        <f t="shared" si="1"/>
        <v/>
      </c>
      <c r="L68" s="153"/>
      <c r="M68" s="154"/>
      <c r="N68" s="155" t="str">
        <f t="shared" si="2"/>
        <v/>
      </c>
      <c r="O68" s="155" t="str">
        <f t="shared" si="3"/>
        <v/>
      </c>
      <c r="Q68" s="153"/>
      <c r="R68" s="154"/>
      <c r="S68" s="156" t="str">
        <f t="shared" si="4"/>
        <v/>
      </c>
      <c r="T68" s="156" t="str">
        <f t="shared" si="5"/>
        <v/>
      </c>
      <c r="V68" s="153"/>
      <c r="W68" s="154"/>
      <c r="X68" s="157" t="str">
        <f t="shared" si="6"/>
        <v/>
      </c>
      <c r="Y68" s="157" t="str">
        <f t="shared" si="7"/>
        <v/>
      </c>
      <c r="AA68" s="153"/>
      <c r="AB68" s="154"/>
      <c r="AC68" s="158" t="str">
        <f t="shared" si="8"/>
        <v/>
      </c>
      <c r="AD68" s="158" t="str">
        <f t="shared" si="9"/>
        <v/>
      </c>
      <c r="AF68" s="153"/>
      <c r="AG68" s="154"/>
      <c r="AH68" s="159" t="str">
        <f t="shared" si="10"/>
        <v/>
      </c>
      <c r="AI68" s="159" t="str">
        <f t="shared" si="11"/>
        <v/>
      </c>
    </row>
    <row r="69" spans="2:35">
      <c r="B69" s="153"/>
      <c r="C69" s="154"/>
      <c r="D69" s="175" t="str">
        <f>IF(ISBLANK(C69),"",SUMIF($AN$5:$AN$1004,B69,$AO$5:$AO$1004))</f>
        <v/>
      </c>
      <c r="E69" s="175" t="str">
        <f t="shared" si="0"/>
        <v/>
      </c>
      <c r="G69" s="153"/>
      <c r="H69" s="154"/>
      <c r="I69" s="185" t="str">
        <f>IF(ISBLANK(H69),"",SUMIF($AN$5:$AN$1004,G69,$AO$5:$AO$1004))</f>
        <v/>
      </c>
      <c r="J69" s="185" t="str">
        <f t="shared" si="1"/>
        <v/>
      </c>
      <c r="L69" s="153"/>
      <c r="M69" s="154"/>
      <c r="N69" s="155" t="str">
        <f t="shared" si="2"/>
        <v/>
      </c>
      <c r="O69" s="155" t="str">
        <f t="shared" si="3"/>
        <v/>
      </c>
      <c r="Q69" s="153"/>
      <c r="R69" s="154"/>
      <c r="S69" s="156" t="str">
        <f t="shared" si="4"/>
        <v/>
      </c>
      <c r="T69" s="156" t="str">
        <f t="shared" si="5"/>
        <v/>
      </c>
      <c r="V69" s="153"/>
      <c r="W69" s="154"/>
      <c r="X69" s="157" t="str">
        <f t="shared" si="6"/>
        <v/>
      </c>
      <c r="Y69" s="157" t="str">
        <f t="shared" si="7"/>
        <v/>
      </c>
      <c r="AA69" s="153"/>
      <c r="AB69" s="154"/>
      <c r="AC69" s="158" t="str">
        <f t="shared" si="8"/>
        <v/>
      </c>
      <c r="AD69" s="158" t="str">
        <f t="shared" si="9"/>
        <v/>
      </c>
      <c r="AF69" s="153"/>
      <c r="AG69" s="154"/>
      <c r="AH69" s="159" t="str">
        <f t="shared" si="10"/>
        <v/>
      </c>
      <c r="AI69" s="159" t="str">
        <f t="shared" si="11"/>
        <v/>
      </c>
    </row>
    <row r="70" spans="2:35">
      <c r="B70" s="153"/>
      <c r="C70" s="154"/>
      <c r="D70" s="175" t="str">
        <f>IF(ISBLANK(C70),"",SUMIF($AN$5:$AN$1004,B70,$AO$5:$AO$1004))</f>
        <v/>
      </c>
      <c r="E70" s="175" t="str">
        <f t="shared" si="0"/>
        <v/>
      </c>
      <c r="G70" s="153"/>
      <c r="H70" s="154"/>
      <c r="I70" s="185" t="str">
        <f>IF(ISBLANK(H70),"",SUMIF($AN$5:$AN$1004,G70,$AO$5:$AO$1004))</f>
        <v/>
      </c>
      <c r="J70" s="185" t="str">
        <f t="shared" si="1"/>
        <v/>
      </c>
      <c r="L70" s="153"/>
      <c r="M70" s="154"/>
      <c r="N70" s="155" t="str">
        <f t="shared" si="2"/>
        <v/>
      </c>
      <c r="O70" s="155" t="str">
        <f t="shared" si="3"/>
        <v/>
      </c>
      <c r="Q70" s="153"/>
      <c r="R70" s="154"/>
      <c r="S70" s="156" t="str">
        <f t="shared" si="4"/>
        <v/>
      </c>
      <c r="T70" s="156" t="str">
        <f t="shared" si="5"/>
        <v/>
      </c>
      <c r="V70" s="153"/>
      <c r="W70" s="154"/>
      <c r="X70" s="157" t="str">
        <f t="shared" si="6"/>
        <v/>
      </c>
      <c r="Y70" s="157" t="str">
        <f t="shared" si="7"/>
        <v/>
      </c>
      <c r="AA70" s="153"/>
      <c r="AB70" s="154"/>
      <c r="AC70" s="158" t="str">
        <f t="shared" si="8"/>
        <v/>
      </c>
      <c r="AD70" s="158" t="str">
        <f t="shared" si="9"/>
        <v/>
      </c>
      <c r="AF70" s="153"/>
      <c r="AG70" s="154"/>
      <c r="AH70" s="159" t="str">
        <f t="shared" si="10"/>
        <v/>
      </c>
      <c r="AI70" s="159" t="str">
        <f t="shared" si="11"/>
        <v/>
      </c>
    </row>
    <row r="71" spans="2:35">
      <c r="B71" s="153"/>
      <c r="C71" s="154"/>
      <c r="D71" s="175" t="str">
        <f>IF(ISBLANK(C71),"",SUMIF($AN$5:$AN$1004,B71,$AO$5:$AO$1004))</f>
        <v/>
      </c>
      <c r="E71" s="175" t="str">
        <f t="shared" si="0"/>
        <v/>
      </c>
      <c r="G71" s="153"/>
      <c r="H71" s="154"/>
      <c r="I71" s="185" t="str">
        <f>IF(ISBLANK(H71),"",SUMIF($AN$5:$AN$1004,G71,$AO$5:$AO$1004))</f>
        <v/>
      </c>
      <c r="J71" s="185" t="str">
        <f t="shared" si="1"/>
        <v/>
      </c>
      <c r="L71" s="153"/>
      <c r="M71" s="154"/>
      <c r="N71" s="155" t="str">
        <f t="shared" si="2"/>
        <v/>
      </c>
      <c r="O71" s="155" t="str">
        <f t="shared" si="3"/>
        <v/>
      </c>
      <c r="Q71" s="153"/>
      <c r="R71" s="154"/>
      <c r="S71" s="156" t="str">
        <f t="shared" si="4"/>
        <v/>
      </c>
      <c r="T71" s="156" t="str">
        <f t="shared" si="5"/>
        <v/>
      </c>
      <c r="V71" s="153"/>
      <c r="W71" s="154"/>
      <c r="X71" s="157" t="str">
        <f t="shared" si="6"/>
        <v/>
      </c>
      <c r="Y71" s="157" t="str">
        <f t="shared" si="7"/>
        <v/>
      </c>
      <c r="AA71" s="153"/>
      <c r="AB71" s="154"/>
      <c r="AC71" s="158" t="str">
        <f t="shared" si="8"/>
        <v/>
      </c>
      <c r="AD71" s="158" t="str">
        <f t="shared" si="9"/>
        <v/>
      </c>
      <c r="AF71" s="153"/>
      <c r="AG71" s="154"/>
      <c r="AH71" s="159" t="str">
        <f t="shared" si="10"/>
        <v/>
      </c>
      <c r="AI71" s="159" t="str">
        <f t="shared" si="11"/>
        <v/>
      </c>
    </row>
    <row r="72" spans="2:35">
      <c r="B72" s="153"/>
      <c r="C72" s="154"/>
      <c r="D72" s="175" t="str">
        <f>IF(ISBLANK(C72),"",SUMIF($AN$5:$AN$1004,B72,$AO$5:$AO$1004))</f>
        <v/>
      </c>
      <c r="E72" s="175" t="str">
        <f t="shared" si="0"/>
        <v/>
      </c>
      <c r="G72" s="153"/>
      <c r="H72" s="154"/>
      <c r="I72" s="185" t="str">
        <f>IF(ISBLANK(H72),"",SUMIF($AN$5:$AN$1004,G72,$AO$5:$AO$1004))</f>
        <v/>
      </c>
      <c r="J72" s="185" t="str">
        <f t="shared" si="1"/>
        <v/>
      </c>
      <c r="L72" s="153"/>
      <c r="M72" s="154"/>
      <c r="N72" s="155" t="str">
        <f t="shared" si="2"/>
        <v/>
      </c>
      <c r="O72" s="155" t="str">
        <f t="shared" si="3"/>
        <v/>
      </c>
      <c r="Q72" s="153"/>
      <c r="R72" s="154"/>
      <c r="S72" s="156" t="str">
        <f t="shared" si="4"/>
        <v/>
      </c>
      <c r="T72" s="156" t="str">
        <f t="shared" si="5"/>
        <v/>
      </c>
      <c r="V72" s="153"/>
      <c r="W72" s="154"/>
      <c r="X72" s="157" t="str">
        <f t="shared" si="6"/>
        <v/>
      </c>
      <c r="Y72" s="157" t="str">
        <f t="shared" si="7"/>
        <v/>
      </c>
      <c r="AA72" s="153"/>
      <c r="AB72" s="154"/>
      <c r="AC72" s="158" t="str">
        <f t="shared" si="8"/>
        <v/>
      </c>
      <c r="AD72" s="158" t="str">
        <f t="shared" si="9"/>
        <v/>
      </c>
      <c r="AF72" s="153"/>
      <c r="AG72" s="154"/>
      <c r="AH72" s="159" t="str">
        <f t="shared" si="10"/>
        <v/>
      </c>
      <c r="AI72" s="159" t="str">
        <f t="shared" si="11"/>
        <v/>
      </c>
    </row>
    <row r="73" spans="2:35">
      <c r="B73" s="153"/>
      <c r="C73" s="154"/>
      <c r="D73" s="175" t="str">
        <f>IF(ISBLANK(C73),"",SUMIF($AN$5:$AN$1004,B73,$AO$5:$AO$1004))</f>
        <v/>
      </c>
      <c r="E73" s="175" t="str">
        <f t="shared" si="0"/>
        <v/>
      </c>
      <c r="G73" s="153"/>
      <c r="H73" s="154"/>
      <c r="I73" s="185" t="str">
        <f>IF(ISBLANK(H73),"",SUMIF($AN$5:$AN$1004,G73,$AO$5:$AO$1004))</f>
        <v/>
      </c>
      <c r="J73" s="185" t="str">
        <f t="shared" si="1"/>
        <v/>
      </c>
      <c r="L73" s="153"/>
      <c r="M73" s="154"/>
      <c r="N73" s="155" t="str">
        <f t="shared" si="2"/>
        <v/>
      </c>
      <c r="O73" s="155" t="str">
        <f t="shared" si="3"/>
        <v/>
      </c>
      <c r="Q73" s="153"/>
      <c r="R73" s="154"/>
      <c r="S73" s="156" t="str">
        <f t="shared" si="4"/>
        <v/>
      </c>
      <c r="T73" s="156" t="str">
        <f t="shared" si="5"/>
        <v/>
      </c>
      <c r="V73" s="153"/>
      <c r="W73" s="154"/>
      <c r="X73" s="157" t="str">
        <f t="shared" si="6"/>
        <v/>
      </c>
      <c r="Y73" s="157" t="str">
        <f t="shared" si="7"/>
        <v/>
      </c>
      <c r="AA73" s="153"/>
      <c r="AB73" s="154"/>
      <c r="AC73" s="158" t="str">
        <f t="shared" si="8"/>
        <v/>
      </c>
      <c r="AD73" s="158" t="str">
        <f t="shared" si="9"/>
        <v/>
      </c>
      <c r="AF73" s="153"/>
      <c r="AG73" s="154"/>
      <c r="AH73" s="159" t="str">
        <f t="shared" si="10"/>
        <v/>
      </c>
      <c r="AI73" s="159" t="str">
        <f t="shared" si="11"/>
        <v/>
      </c>
    </row>
    <row r="74" spans="2:35">
      <c r="B74" s="153"/>
      <c r="C74" s="154"/>
      <c r="D74" s="175" t="str">
        <f>IF(ISBLANK(C74),"",SUMIF($AN$5:$AN$1004,B74,$AO$5:$AO$1004))</f>
        <v/>
      </c>
      <c r="E74" s="175" t="str">
        <f t="shared" si="0"/>
        <v/>
      </c>
      <c r="G74" s="153"/>
      <c r="H74" s="154"/>
      <c r="I74" s="185" t="str">
        <f>IF(ISBLANK(H74),"",SUMIF($AN$5:$AN$1004,G74,$AO$5:$AO$1004))</f>
        <v/>
      </c>
      <c r="J74" s="185" t="str">
        <f t="shared" si="1"/>
        <v/>
      </c>
      <c r="L74" s="153"/>
      <c r="M74" s="154"/>
      <c r="N74" s="155" t="str">
        <f t="shared" si="2"/>
        <v/>
      </c>
      <c r="O74" s="155" t="str">
        <f t="shared" si="3"/>
        <v/>
      </c>
      <c r="Q74" s="153"/>
      <c r="R74" s="154"/>
      <c r="S74" s="156" t="str">
        <f t="shared" si="4"/>
        <v/>
      </c>
      <c r="T74" s="156" t="str">
        <f t="shared" si="5"/>
        <v/>
      </c>
      <c r="V74" s="153"/>
      <c r="W74" s="154"/>
      <c r="X74" s="157" t="str">
        <f t="shared" si="6"/>
        <v/>
      </c>
      <c r="Y74" s="157" t="str">
        <f t="shared" si="7"/>
        <v/>
      </c>
      <c r="AA74" s="153"/>
      <c r="AB74" s="154"/>
      <c r="AC74" s="158" t="str">
        <f t="shared" si="8"/>
        <v/>
      </c>
      <c r="AD74" s="158" t="str">
        <f t="shared" si="9"/>
        <v/>
      </c>
      <c r="AF74" s="153"/>
      <c r="AG74" s="154"/>
      <c r="AH74" s="159" t="str">
        <f t="shared" si="10"/>
        <v/>
      </c>
      <c r="AI74" s="159" t="str">
        <f t="shared" si="11"/>
        <v/>
      </c>
    </row>
    <row r="75" spans="2:35">
      <c r="B75" s="153"/>
      <c r="C75" s="154"/>
      <c r="D75" s="175" t="str">
        <f>IF(ISBLANK(C75),"",SUMIF($AN$5:$AN$1004,B75,$AO$5:$AO$1004))</f>
        <v/>
      </c>
      <c r="E75" s="175" t="str">
        <f t="shared" si="0"/>
        <v/>
      </c>
      <c r="G75" s="153"/>
      <c r="H75" s="154"/>
      <c r="I75" s="185" t="str">
        <f>IF(ISBLANK(H75),"",SUMIF($AN$5:$AN$1004,G75,$AO$5:$AO$1004))</f>
        <v/>
      </c>
      <c r="J75" s="185" t="str">
        <f t="shared" si="1"/>
        <v/>
      </c>
      <c r="L75" s="153"/>
      <c r="M75" s="154"/>
      <c r="N75" s="155" t="str">
        <f t="shared" si="2"/>
        <v/>
      </c>
      <c r="O75" s="155" t="str">
        <f t="shared" si="3"/>
        <v/>
      </c>
      <c r="Q75" s="153"/>
      <c r="R75" s="154"/>
      <c r="S75" s="156" t="str">
        <f t="shared" si="4"/>
        <v/>
      </c>
      <c r="T75" s="156" t="str">
        <f t="shared" si="5"/>
        <v/>
      </c>
      <c r="V75" s="153"/>
      <c r="W75" s="154"/>
      <c r="X75" s="157" t="str">
        <f t="shared" si="6"/>
        <v/>
      </c>
      <c r="Y75" s="157" t="str">
        <f t="shared" si="7"/>
        <v/>
      </c>
      <c r="AA75" s="153"/>
      <c r="AB75" s="154"/>
      <c r="AC75" s="158" t="str">
        <f t="shared" si="8"/>
        <v/>
      </c>
      <c r="AD75" s="158" t="str">
        <f t="shared" si="9"/>
        <v/>
      </c>
      <c r="AF75" s="153"/>
      <c r="AG75" s="154"/>
      <c r="AH75" s="159" t="str">
        <f t="shared" si="10"/>
        <v/>
      </c>
      <c r="AI75" s="159" t="str">
        <f t="shared" si="11"/>
        <v/>
      </c>
    </row>
    <row r="76" spans="2:35">
      <c r="B76" s="153"/>
      <c r="C76" s="154"/>
      <c r="D76" s="175" t="str">
        <f>IF(ISBLANK(C76),"",SUMIF($AN$5:$AN$1004,B76,$AO$5:$AO$1004))</f>
        <v/>
      </c>
      <c r="E76" s="175" t="str">
        <f t="shared" si="0"/>
        <v/>
      </c>
      <c r="G76" s="153"/>
      <c r="H76" s="154"/>
      <c r="I76" s="185" t="str">
        <f>IF(ISBLANK(H76),"",SUMIF($AN$5:$AN$1004,G76,$AO$5:$AO$1004))</f>
        <v/>
      </c>
      <c r="J76" s="185" t="str">
        <f t="shared" si="1"/>
        <v/>
      </c>
      <c r="L76" s="153"/>
      <c r="M76" s="154"/>
      <c r="N76" s="155" t="str">
        <f t="shared" si="2"/>
        <v/>
      </c>
      <c r="O76" s="155" t="str">
        <f t="shared" si="3"/>
        <v/>
      </c>
      <c r="Q76" s="153"/>
      <c r="R76" s="154"/>
      <c r="S76" s="156" t="str">
        <f t="shared" si="4"/>
        <v/>
      </c>
      <c r="T76" s="156" t="str">
        <f t="shared" si="5"/>
        <v/>
      </c>
      <c r="V76" s="153"/>
      <c r="W76" s="154"/>
      <c r="X76" s="157" t="str">
        <f t="shared" si="6"/>
        <v/>
      </c>
      <c r="Y76" s="157" t="str">
        <f t="shared" si="7"/>
        <v/>
      </c>
      <c r="AA76" s="153"/>
      <c r="AB76" s="154"/>
      <c r="AC76" s="158" t="str">
        <f t="shared" si="8"/>
        <v/>
      </c>
      <c r="AD76" s="158" t="str">
        <f t="shared" si="9"/>
        <v/>
      </c>
      <c r="AF76" s="153"/>
      <c r="AG76" s="154"/>
      <c r="AH76" s="159" t="str">
        <f t="shared" si="10"/>
        <v/>
      </c>
      <c r="AI76" s="159" t="str">
        <f t="shared" si="11"/>
        <v/>
      </c>
    </row>
    <row r="77" spans="2:35">
      <c r="B77" s="153"/>
      <c r="C77" s="154"/>
      <c r="D77" s="175" t="str">
        <f>IF(ISBLANK(C77),"",SUMIF($AN$5:$AN$1004,B77,$AO$5:$AO$1004))</f>
        <v/>
      </c>
      <c r="E77" s="175" t="str">
        <f t="shared" si="0"/>
        <v/>
      </c>
      <c r="G77" s="153"/>
      <c r="H77" s="154"/>
      <c r="I77" s="185" t="str">
        <f>IF(ISBLANK(H77),"",SUMIF($AN$5:$AN$1004,G77,$AO$5:$AO$1004))</f>
        <v/>
      </c>
      <c r="J77" s="185" t="str">
        <f t="shared" si="1"/>
        <v/>
      </c>
      <c r="L77" s="153"/>
      <c r="M77" s="154"/>
      <c r="N77" s="155" t="str">
        <f t="shared" si="2"/>
        <v/>
      </c>
      <c r="O77" s="155" t="str">
        <f t="shared" si="3"/>
        <v/>
      </c>
      <c r="Q77" s="153"/>
      <c r="R77" s="154"/>
      <c r="S77" s="156" t="str">
        <f t="shared" si="4"/>
        <v/>
      </c>
      <c r="T77" s="156" t="str">
        <f t="shared" si="5"/>
        <v/>
      </c>
      <c r="V77" s="153"/>
      <c r="W77" s="154"/>
      <c r="X77" s="157" t="str">
        <f t="shared" si="6"/>
        <v/>
      </c>
      <c r="Y77" s="157" t="str">
        <f t="shared" si="7"/>
        <v/>
      </c>
      <c r="AA77" s="153"/>
      <c r="AB77" s="154"/>
      <c r="AC77" s="158" t="str">
        <f t="shared" si="8"/>
        <v/>
      </c>
      <c r="AD77" s="158" t="str">
        <f t="shared" si="9"/>
        <v/>
      </c>
      <c r="AF77" s="153"/>
      <c r="AG77" s="154"/>
      <c r="AH77" s="159" t="str">
        <f t="shared" si="10"/>
        <v/>
      </c>
      <c r="AI77" s="159" t="str">
        <f t="shared" si="11"/>
        <v/>
      </c>
    </row>
    <row r="78" spans="2:35">
      <c r="B78" s="153"/>
      <c r="C78" s="154"/>
      <c r="D78" s="175" t="str">
        <f>IF(ISBLANK(C78),"",SUMIF($AN$5:$AN$1004,B78,$AO$5:$AO$1004))</f>
        <v/>
      </c>
      <c r="E78" s="175" t="str">
        <f t="shared" si="0"/>
        <v/>
      </c>
      <c r="G78" s="153"/>
      <c r="H78" s="154"/>
      <c r="I78" s="185" t="str">
        <f>IF(ISBLANK(H78),"",SUMIF($AN$5:$AN$1004,G78,$AO$5:$AO$1004))</f>
        <v/>
      </c>
      <c r="J78" s="185" t="str">
        <f t="shared" si="1"/>
        <v/>
      </c>
      <c r="L78" s="153"/>
      <c r="M78" s="154"/>
      <c r="N78" s="155" t="str">
        <f t="shared" si="2"/>
        <v/>
      </c>
      <c r="O78" s="155" t="str">
        <f t="shared" si="3"/>
        <v/>
      </c>
      <c r="Q78" s="153"/>
      <c r="R78" s="154"/>
      <c r="S78" s="156" t="str">
        <f t="shared" si="4"/>
        <v/>
      </c>
      <c r="T78" s="156" t="str">
        <f t="shared" si="5"/>
        <v/>
      </c>
      <c r="V78" s="153"/>
      <c r="W78" s="154"/>
      <c r="X78" s="157" t="str">
        <f t="shared" si="6"/>
        <v/>
      </c>
      <c r="Y78" s="157" t="str">
        <f t="shared" si="7"/>
        <v/>
      </c>
      <c r="AA78" s="153"/>
      <c r="AB78" s="154"/>
      <c r="AC78" s="158" t="str">
        <f t="shared" si="8"/>
        <v/>
      </c>
      <c r="AD78" s="158" t="str">
        <f t="shared" si="9"/>
        <v/>
      </c>
      <c r="AF78" s="153"/>
      <c r="AG78" s="154"/>
      <c r="AH78" s="159" t="str">
        <f t="shared" si="10"/>
        <v/>
      </c>
      <c r="AI78" s="159" t="str">
        <f t="shared" si="11"/>
        <v/>
      </c>
    </row>
    <row r="79" spans="2:35">
      <c r="B79" s="153"/>
      <c r="C79" s="154"/>
      <c r="D79" s="175" t="str">
        <f>IF(ISBLANK(C79),"",SUMIF($AN$5:$AN$1004,B79,$AO$5:$AO$1004))</f>
        <v/>
      </c>
      <c r="E79" s="175" t="str">
        <f t="shared" si="0"/>
        <v/>
      </c>
      <c r="G79" s="153"/>
      <c r="H79" s="154"/>
      <c r="I79" s="185" t="str">
        <f>IF(ISBLANK(H79),"",SUMIF($AN$5:$AN$1004,G79,$AO$5:$AO$1004))</f>
        <v/>
      </c>
      <c r="J79" s="185" t="str">
        <f t="shared" si="1"/>
        <v/>
      </c>
      <c r="L79" s="153"/>
      <c r="M79" s="154"/>
      <c r="N79" s="155" t="str">
        <f t="shared" si="2"/>
        <v/>
      </c>
      <c r="O79" s="155" t="str">
        <f t="shared" si="3"/>
        <v/>
      </c>
      <c r="Q79" s="153"/>
      <c r="R79" s="154"/>
      <c r="S79" s="156" t="str">
        <f t="shared" si="4"/>
        <v/>
      </c>
      <c r="T79" s="156" t="str">
        <f t="shared" si="5"/>
        <v/>
      </c>
      <c r="V79" s="153"/>
      <c r="W79" s="154"/>
      <c r="X79" s="157" t="str">
        <f t="shared" si="6"/>
        <v/>
      </c>
      <c r="Y79" s="157" t="str">
        <f t="shared" si="7"/>
        <v/>
      </c>
      <c r="AA79" s="153"/>
      <c r="AB79" s="154"/>
      <c r="AC79" s="158" t="str">
        <f t="shared" si="8"/>
        <v/>
      </c>
      <c r="AD79" s="158" t="str">
        <f t="shared" si="9"/>
        <v/>
      </c>
      <c r="AF79" s="153"/>
      <c r="AG79" s="154"/>
      <c r="AH79" s="159" t="str">
        <f t="shared" si="10"/>
        <v/>
      </c>
      <c r="AI79" s="159" t="str">
        <f t="shared" si="11"/>
        <v/>
      </c>
    </row>
    <row r="80" spans="2:35">
      <c r="B80" s="153"/>
      <c r="C80" s="154"/>
      <c r="D80" s="175" t="str">
        <f>IF(ISBLANK(C80),"",SUMIF($AN$5:$AN$1004,B80,$AO$5:$AO$1004))</f>
        <v/>
      </c>
      <c r="E80" s="175" t="str">
        <f t="shared" si="0"/>
        <v/>
      </c>
      <c r="G80" s="153"/>
      <c r="H80" s="154"/>
      <c r="I80" s="185" t="str">
        <f>IF(ISBLANK(H80),"",SUMIF($AN$5:$AN$1004,G80,$AO$5:$AO$1004))</f>
        <v/>
      </c>
      <c r="J80" s="185" t="str">
        <f t="shared" si="1"/>
        <v/>
      </c>
      <c r="L80" s="153"/>
      <c r="M80" s="154"/>
      <c r="N80" s="155" t="str">
        <f t="shared" si="2"/>
        <v/>
      </c>
      <c r="O80" s="155" t="str">
        <f t="shared" si="3"/>
        <v/>
      </c>
      <c r="Q80" s="153"/>
      <c r="R80" s="154"/>
      <c r="S80" s="156" t="str">
        <f t="shared" si="4"/>
        <v/>
      </c>
      <c r="T80" s="156" t="str">
        <f t="shared" si="5"/>
        <v/>
      </c>
      <c r="V80" s="153"/>
      <c r="W80" s="154"/>
      <c r="X80" s="157" t="str">
        <f t="shared" si="6"/>
        <v/>
      </c>
      <c r="Y80" s="157" t="str">
        <f t="shared" si="7"/>
        <v/>
      </c>
      <c r="AA80" s="153"/>
      <c r="AB80" s="154"/>
      <c r="AC80" s="158" t="str">
        <f t="shared" si="8"/>
        <v/>
      </c>
      <c r="AD80" s="158" t="str">
        <f t="shared" si="9"/>
        <v/>
      </c>
      <c r="AF80" s="153"/>
      <c r="AG80" s="154"/>
      <c r="AH80" s="159" t="str">
        <f t="shared" si="10"/>
        <v/>
      </c>
      <c r="AI80" s="159" t="str">
        <f t="shared" si="11"/>
        <v/>
      </c>
    </row>
    <row r="81" spans="2:35">
      <c r="B81" s="153"/>
      <c r="C81" s="154"/>
      <c r="D81" s="175" t="str">
        <f>IF(ISBLANK(C81),"",SUMIF($AN$5:$AN$1004,B81,$AO$5:$AO$1004))</f>
        <v/>
      </c>
      <c r="E81" s="175" t="str">
        <f t="shared" si="0"/>
        <v/>
      </c>
      <c r="G81" s="153"/>
      <c r="H81" s="154"/>
      <c r="I81" s="185" t="str">
        <f>IF(ISBLANK(H81),"",SUMIF($AN$5:$AN$1004,G81,$AO$5:$AO$1004))</f>
        <v/>
      </c>
      <c r="J81" s="185" t="str">
        <f t="shared" si="1"/>
        <v/>
      </c>
      <c r="L81" s="153"/>
      <c r="M81" s="154"/>
      <c r="N81" s="155" t="str">
        <f t="shared" si="2"/>
        <v/>
      </c>
      <c r="O81" s="155" t="str">
        <f t="shared" si="3"/>
        <v/>
      </c>
      <c r="Q81" s="153"/>
      <c r="R81" s="154"/>
      <c r="S81" s="156" t="str">
        <f t="shared" si="4"/>
        <v/>
      </c>
      <c r="T81" s="156" t="str">
        <f t="shared" si="5"/>
        <v/>
      </c>
      <c r="V81" s="153"/>
      <c r="W81" s="154"/>
      <c r="X81" s="157" t="str">
        <f t="shared" si="6"/>
        <v/>
      </c>
      <c r="Y81" s="157" t="str">
        <f t="shared" si="7"/>
        <v/>
      </c>
      <c r="AA81" s="153"/>
      <c r="AB81" s="154"/>
      <c r="AC81" s="158" t="str">
        <f t="shared" si="8"/>
        <v/>
      </c>
      <c r="AD81" s="158" t="str">
        <f t="shared" si="9"/>
        <v/>
      </c>
      <c r="AF81" s="153"/>
      <c r="AG81" s="154"/>
      <c r="AH81" s="159" t="str">
        <f t="shared" si="10"/>
        <v/>
      </c>
      <c r="AI81" s="159" t="str">
        <f t="shared" si="11"/>
        <v/>
      </c>
    </row>
    <row r="82" spans="2:35">
      <c r="B82" s="153"/>
      <c r="C82" s="154"/>
      <c r="D82" s="175" t="str">
        <f>IF(ISBLANK(C82),"",SUMIF($AN$5:$AN$1004,B82,$AO$5:$AO$1004))</f>
        <v/>
      </c>
      <c r="E82" s="175" t="str">
        <f t="shared" si="0"/>
        <v/>
      </c>
      <c r="G82" s="153"/>
      <c r="H82" s="154"/>
      <c r="I82" s="185" t="str">
        <f>IF(ISBLANK(H82),"",SUMIF($AN$5:$AN$1004,G82,$AO$5:$AO$1004))</f>
        <v/>
      </c>
      <c r="J82" s="185" t="str">
        <f t="shared" si="1"/>
        <v/>
      </c>
      <c r="L82" s="153"/>
      <c r="M82" s="154"/>
      <c r="N82" s="155" t="str">
        <f t="shared" si="2"/>
        <v/>
      </c>
      <c r="O82" s="155" t="str">
        <f t="shared" si="3"/>
        <v/>
      </c>
      <c r="Q82" s="153"/>
      <c r="R82" s="154"/>
      <c r="S82" s="156" t="str">
        <f t="shared" si="4"/>
        <v/>
      </c>
      <c r="T82" s="156" t="str">
        <f t="shared" si="5"/>
        <v/>
      </c>
      <c r="V82" s="153"/>
      <c r="W82" s="154"/>
      <c r="X82" s="157" t="str">
        <f t="shared" si="6"/>
        <v/>
      </c>
      <c r="Y82" s="157" t="str">
        <f t="shared" si="7"/>
        <v/>
      </c>
      <c r="AA82" s="153"/>
      <c r="AB82" s="154"/>
      <c r="AC82" s="158" t="str">
        <f t="shared" si="8"/>
        <v/>
      </c>
      <c r="AD82" s="158" t="str">
        <f t="shared" si="9"/>
        <v/>
      </c>
      <c r="AF82" s="153"/>
      <c r="AG82" s="154"/>
      <c r="AH82" s="159" t="str">
        <f t="shared" si="10"/>
        <v/>
      </c>
      <c r="AI82" s="159" t="str">
        <f t="shared" si="11"/>
        <v/>
      </c>
    </row>
    <row r="83" spans="2:35">
      <c r="B83" s="153"/>
      <c r="C83" s="154"/>
      <c r="D83" s="175" t="str">
        <f>IF(ISBLANK(C83),"",SUMIF($AN$5:$AN$1004,B83,$AO$5:$AO$1004))</f>
        <v/>
      </c>
      <c r="E83" s="175" t="str">
        <f t="shared" si="0"/>
        <v/>
      </c>
      <c r="G83" s="153"/>
      <c r="H83" s="154"/>
      <c r="I83" s="185" t="str">
        <f>IF(ISBLANK(H83),"",SUMIF($AN$5:$AN$1004,G83,$AO$5:$AO$1004))</f>
        <v/>
      </c>
      <c r="J83" s="185" t="str">
        <f t="shared" si="1"/>
        <v/>
      </c>
      <c r="L83" s="153"/>
      <c r="M83" s="154"/>
      <c r="N83" s="155" t="str">
        <f t="shared" si="2"/>
        <v/>
      </c>
      <c r="O83" s="155" t="str">
        <f t="shared" si="3"/>
        <v/>
      </c>
      <c r="Q83" s="153"/>
      <c r="R83" s="154"/>
      <c r="S83" s="156" t="str">
        <f t="shared" si="4"/>
        <v/>
      </c>
      <c r="T83" s="156" t="str">
        <f t="shared" si="5"/>
        <v/>
      </c>
      <c r="V83" s="153"/>
      <c r="W83" s="154"/>
      <c r="X83" s="157" t="str">
        <f t="shared" si="6"/>
        <v/>
      </c>
      <c r="Y83" s="157" t="str">
        <f t="shared" si="7"/>
        <v/>
      </c>
      <c r="AA83" s="153"/>
      <c r="AB83" s="154"/>
      <c r="AC83" s="158" t="str">
        <f t="shared" si="8"/>
        <v/>
      </c>
      <c r="AD83" s="158" t="str">
        <f t="shared" si="9"/>
        <v/>
      </c>
      <c r="AF83" s="153"/>
      <c r="AG83" s="154"/>
      <c r="AH83" s="159" t="str">
        <f t="shared" si="10"/>
        <v/>
      </c>
      <c r="AI83" s="159" t="str">
        <f t="shared" si="11"/>
        <v/>
      </c>
    </row>
    <row r="84" spans="2:35">
      <c r="B84" s="153"/>
      <c r="C84" s="154"/>
      <c r="D84" s="175" t="str">
        <f>IF(ISBLANK(C84),"",SUMIF($AN$5:$AN$1004,B84,$AO$5:$AO$1004))</f>
        <v/>
      </c>
      <c r="E84" s="175" t="str">
        <f t="shared" si="0"/>
        <v/>
      </c>
      <c r="G84" s="153"/>
      <c r="H84" s="154"/>
      <c r="I84" s="185" t="str">
        <f>IF(ISBLANK(H84),"",SUMIF($AN$5:$AN$1004,G84,$AO$5:$AO$1004))</f>
        <v/>
      </c>
      <c r="J84" s="185" t="str">
        <f t="shared" si="1"/>
        <v/>
      </c>
      <c r="L84" s="153"/>
      <c r="M84" s="154"/>
      <c r="N84" s="155" t="str">
        <f t="shared" si="2"/>
        <v/>
      </c>
      <c r="O84" s="155" t="str">
        <f t="shared" si="3"/>
        <v/>
      </c>
      <c r="Q84" s="153"/>
      <c r="R84" s="154"/>
      <c r="S84" s="156" t="str">
        <f t="shared" si="4"/>
        <v/>
      </c>
      <c r="T84" s="156" t="str">
        <f t="shared" si="5"/>
        <v/>
      </c>
      <c r="V84" s="153"/>
      <c r="W84" s="154"/>
      <c r="X84" s="157" t="str">
        <f t="shared" si="6"/>
        <v/>
      </c>
      <c r="Y84" s="157" t="str">
        <f t="shared" si="7"/>
        <v/>
      </c>
      <c r="AA84" s="153"/>
      <c r="AB84" s="154"/>
      <c r="AC84" s="158" t="str">
        <f t="shared" si="8"/>
        <v/>
      </c>
      <c r="AD84" s="158" t="str">
        <f t="shared" si="9"/>
        <v/>
      </c>
      <c r="AF84" s="153"/>
      <c r="AG84" s="154"/>
      <c r="AH84" s="159" t="str">
        <f t="shared" si="10"/>
        <v/>
      </c>
      <c r="AI84" s="159" t="str">
        <f t="shared" si="11"/>
        <v/>
      </c>
    </row>
    <row r="85" spans="2:35">
      <c r="B85" s="153"/>
      <c r="C85" s="154"/>
      <c r="D85" s="175" t="str">
        <f>IF(ISBLANK(C85),"",SUMIF($AN$5:$AN$1004,B85,$AO$5:$AO$1004))</f>
        <v/>
      </c>
      <c r="E85" s="175" t="str">
        <f t="shared" si="0"/>
        <v/>
      </c>
      <c r="G85" s="153"/>
      <c r="H85" s="154"/>
      <c r="I85" s="185" t="str">
        <f>IF(ISBLANK(H85),"",SUMIF($AN$5:$AN$1004,G85,$AO$5:$AO$1004))</f>
        <v/>
      </c>
      <c r="J85" s="185" t="str">
        <f t="shared" si="1"/>
        <v/>
      </c>
      <c r="L85" s="153"/>
      <c r="M85" s="154"/>
      <c r="N85" s="155" t="str">
        <f t="shared" si="2"/>
        <v/>
      </c>
      <c r="O85" s="155" t="str">
        <f t="shared" si="3"/>
        <v/>
      </c>
      <c r="Q85" s="153"/>
      <c r="R85" s="154"/>
      <c r="S85" s="156" t="str">
        <f t="shared" si="4"/>
        <v/>
      </c>
      <c r="T85" s="156" t="str">
        <f t="shared" si="5"/>
        <v/>
      </c>
      <c r="V85" s="153"/>
      <c r="W85" s="154"/>
      <c r="X85" s="157" t="str">
        <f t="shared" si="6"/>
        <v/>
      </c>
      <c r="Y85" s="157" t="str">
        <f t="shared" si="7"/>
        <v/>
      </c>
      <c r="AA85" s="153"/>
      <c r="AB85" s="154"/>
      <c r="AC85" s="158" t="str">
        <f t="shared" si="8"/>
        <v/>
      </c>
      <c r="AD85" s="158" t="str">
        <f t="shared" si="9"/>
        <v/>
      </c>
      <c r="AF85" s="153"/>
      <c r="AG85" s="154"/>
      <c r="AH85" s="159" t="str">
        <f t="shared" si="10"/>
        <v/>
      </c>
      <c r="AI85" s="159" t="str">
        <f t="shared" si="11"/>
        <v/>
      </c>
    </row>
    <row r="86" spans="2:35">
      <c r="B86" s="153"/>
      <c r="C86" s="154"/>
      <c r="D86" s="175" t="str">
        <f>IF(ISBLANK(C86),"",SUMIF($AN$5:$AN$1004,B86,$AO$5:$AO$1004))</f>
        <v/>
      </c>
      <c r="E86" s="175" t="str">
        <f t="shared" si="0"/>
        <v/>
      </c>
      <c r="G86" s="153"/>
      <c r="H86" s="154"/>
      <c r="I86" s="185" t="str">
        <f>IF(ISBLANK(H86),"",SUMIF($AN$5:$AN$1004,G86,$AO$5:$AO$1004))</f>
        <v/>
      </c>
      <c r="J86" s="185" t="str">
        <f t="shared" si="1"/>
        <v/>
      </c>
      <c r="L86" s="153"/>
      <c r="M86" s="154"/>
      <c r="N86" s="155" t="str">
        <f t="shared" si="2"/>
        <v/>
      </c>
      <c r="O86" s="155" t="str">
        <f t="shared" si="3"/>
        <v/>
      </c>
      <c r="Q86" s="153"/>
      <c r="R86" s="154"/>
      <c r="S86" s="156" t="str">
        <f t="shared" si="4"/>
        <v/>
      </c>
      <c r="T86" s="156" t="str">
        <f t="shared" si="5"/>
        <v/>
      </c>
      <c r="V86" s="153"/>
      <c r="W86" s="154"/>
      <c r="X86" s="157" t="str">
        <f t="shared" si="6"/>
        <v/>
      </c>
      <c r="Y86" s="157" t="str">
        <f t="shared" si="7"/>
        <v/>
      </c>
      <c r="AA86" s="153"/>
      <c r="AB86" s="154"/>
      <c r="AC86" s="158" t="str">
        <f t="shared" si="8"/>
        <v/>
      </c>
      <c r="AD86" s="158" t="str">
        <f t="shared" si="9"/>
        <v/>
      </c>
      <c r="AF86" s="153"/>
      <c r="AG86" s="154"/>
      <c r="AH86" s="159" t="str">
        <f t="shared" si="10"/>
        <v/>
      </c>
      <c r="AI86" s="159" t="str">
        <f t="shared" si="11"/>
        <v/>
      </c>
    </row>
    <row r="87" spans="2:35">
      <c r="B87" s="153"/>
      <c r="C87" s="154"/>
      <c r="D87" s="175" t="str">
        <f>IF(ISBLANK(C87),"",SUMIF($AN$5:$AN$1004,B87,$AO$5:$AO$1004))</f>
        <v/>
      </c>
      <c r="E87" s="175" t="str">
        <f t="shared" si="0"/>
        <v/>
      </c>
      <c r="G87" s="153"/>
      <c r="H87" s="154"/>
      <c r="I87" s="185" t="str">
        <f>IF(ISBLANK(H87),"",SUMIF($AN$5:$AN$1004,G87,$AO$5:$AO$1004))</f>
        <v/>
      </c>
      <c r="J87" s="185" t="str">
        <f t="shared" si="1"/>
        <v/>
      </c>
      <c r="L87" s="153"/>
      <c r="M87" s="154"/>
      <c r="N87" s="155" t="str">
        <f t="shared" si="2"/>
        <v/>
      </c>
      <c r="O87" s="155" t="str">
        <f t="shared" si="3"/>
        <v/>
      </c>
      <c r="Q87" s="153"/>
      <c r="R87" s="154"/>
      <c r="S87" s="156" t="str">
        <f t="shared" si="4"/>
        <v/>
      </c>
      <c r="T87" s="156" t="str">
        <f t="shared" si="5"/>
        <v/>
      </c>
      <c r="V87" s="153"/>
      <c r="W87" s="154"/>
      <c r="X87" s="157" t="str">
        <f t="shared" si="6"/>
        <v/>
      </c>
      <c r="Y87" s="157" t="str">
        <f t="shared" si="7"/>
        <v/>
      </c>
      <c r="AA87" s="153"/>
      <c r="AB87" s="154"/>
      <c r="AC87" s="158" t="str">
        <f t="shared" si="8"/>
        <v/>
      </c>
      <c r="AD87" s="158" t="str">
        <f t="shared" si="9"/>
        <v/>
      </c>
      <c r="AF87" s="153"/>
      <c r="AG87" s="154"/>
      <c r="AH87" s="159" t="str">
        <f t="shared" si="10"/>
        <v/>
      </c>
      <c r="AI87" s="159" t="str">
        <f t="shared" si="11"/>
        <v/>
      </c>
    </row>
    <row r="88" spans="2:35">
      <c r="B88" s="153"/>
      <c r="C88" s="154"/>
      <c r="D88" s="175" t="str">
        <f>IF(ISBLANK(C88),"",SUMIF($AN$5:$AN$1004,B88,$AO$5:$AO$1004))</f>
        <v/>
      </c>
      <c r="E88" s="175" t="str">
        <f t="shared" si="0"/>
        <v/>
      </c>
      <c r="G88" s="153"/>
      <c r="H88" s="154"/>
      <c r="I88" s="185" t="str">
        <f>IF(ISBLANK(H88),"",SUMIF($AN$5:$AN$1004,G88,$AO$5:$AO$1004))</f>
        <v/>
      </c>
      <c r="J88" s="185" t="str">
        <f t="shared" si="1"/>
        <v/>
      </c>
      <c r="L88" s="153"/>
      <c r="M88" s="154"/>
      <c r="N88" s="155" t="str">
        <f t="shared" si="2"/>
        <v/>
      </c>
      <c r="O88" s="155" t="str">
        <f t="shared" si="3"/>
        <v/>
      </c>
      <c r="Q88" s="153"/>
      <c r="R88" s="154"/>
      <c r="S88" s="156" t="str">
        <f t="shared" si="4"/>
        <v/>
      </c>
      <c r="T88" s="156" t="str">
        <f t="shared" si="5"/>
        <v/>
      </c>
      <c r="V88" s="153"/>
      <c r="W88" s="154"/>
      <c r="X88" s="157" t="str">
        <f t="shared" si="6"/>
        <v/>
      </c>
      <c r="Y88" s="157" t="str">
        <f t="shared" si="7"/>
        <v/>
      </c>
      <c r="AA88" s="153"/>
      <c r="AB88" s="154"/>
      <c r="AC88" s="158" t="str">
        <f t="shared" si="8"/>
        <v/>
      </c>
      <c r="AD88" s="158" t="str">
        <f t="shared" si="9"/>
        <v/>
      </c>
      <c r="AF88" s="153"/>
      <c r="AG88" s="154"/>
      <c r="AH88" s="159" t="str">
        <f t="shared" si="10"/>
        <v/>
      </c>
      <c r="AI88" s="159" t="str">
        <f t="shared" si="11"/>
        <v/>
      </c>
    </row>
    <row r="89" spans="2:35">
      <c r="B89" s="153"/>
      <c r="C89" s="154"/>
      <c r="D89" s="175" t="str">
        <f>IF(ISBLANK(C89),"",SUMIF($AN$5:$AN$1004,B89,$AO$5:$AO$1004))</f>
        <v/>
      </c>
      <c r="E89" s="175" t="str">
        <f t="shared" si="0"/>
        <v/>
      </c>
      <c r="G89" s="153"/>
      <c r="H89" s="154"/>
      <c r="I89" s="185" t="str">
        <f>IF(ISBLANK(H89),"",SUMIF($AN$5:$AN$1004,G89,$AO$5:$AO$1004))</f>
        <v/>
      </c>
      <c r="J89" s="185" t="str">
        <f t="shared" si="1"/>
        <v/>
      </c>
      <c r="L89" s="153"/>
      <c r="M89" s="154"/>
      <c r="N89" s="155" t="str">
        <f t="shared" si="2"/>
        <v/>
      </c>
      <c r="O89" s="155" t="str">
        <f t="shared" si="3"/>
        <v/>
      </c>
      <c r="Q89" s="153"/>
      <c r="R89" s="154"/>
      <c r="S89" s="156" t="str">
        <f t="shared" si="4"/>
        <v/>
      </c>
      <c r="T89" s="156" t="str">
        <f t="shared" si="5"/>
        <v/>
      </c>
      <c r="V89" s="153"/>
      <c r="W89" s="154"/>
      <c r="X89" s="157" t="str">
        <f t="shared" si="6"/>
        <v/>
      </c>
      <c r="Y89" s="157" t="str">
        <f t="shared" si="7"/>
        <v/>
      </c>
      <c r="AA89" s="153"/>
      <c r="AB89" s="154"/>
      <c r="AC89" s="158" t="str">
        <f t="shared" si="8"/>
        <v/>
      </c>
      <c r="AD89" s="158" t="str">
        <f t="shared" si="9"/>
        <v/>
      </c>
      <c r="AF89" s="153"/>
      <c r="AG89" s="154"/>
      <c r="AH89" s="159" t="str">
        <f t="shared" si="10"/>
        <v/>
      </c>
      <c r="AI89" s="159" t="str">
        <f t="shared" si="11"/>
        <v/>
      </c>
    </row>
    <row r="90" spans="2:35">
      <c r="B90" s="153"/>
      <c r="C90" s="154"/>
      <c r="D90" s="175" t="str">
        <f>IF(ISBLANK(C90),"",SUMIF($AN$5:$AN$1004,B90,$AO$5:$AO$1004))</f>
        <v/>
      </c>
      <c r="E90" s="175" t="str">
        <f t="shared" si="0"/>
        <v/>
      </c>
      <c r="G90" s="153"/>
      <c r="H90" s="154"/>
      <c r="I90" s="185" t="str">
        <f>IF(ISBLANK(H90),"",SUMIF($AN$5:$AN$1004,G90,$AO$5:$AO$1004))</f>
        <v/>
      </c>
      <c r="J90" s="185" t="str">
        <f t="shared" si="1"/>
        <v/>
      </c>
      <c r="L90" s="153"/>
      <c r="M90" s="154"/>
      <c r="N90" s="155" t="str">
        <f t="shared" si="2"/>
        <v/>
      </c>
      <c r="O90" s="155" t="str">
        <f t="shared" si="3"/>
        <v/>
      </c>
      <c r="Q90" s="153"/>
      <c r="R90" s="154"/>
      <c r="S90" s="156" t="str">
        <f t="shared" si="4"/>
        <v/>
      </c>
      <c r="T90" s="156" t="str">
        <f t="shared" si="5"/>
        <v/>
      </c>
      <c r="V90" s="153"/>
      <c r="W90" s="154"/>
      <c r="X90" s="157" t="str">
        <f t="shared" si="6"/>
        <v/>
      </c>
      <c r="Y90" s="157" t="str">
        <f t="shared" si="7"/>
        <v/>
      </c>
      <c r="AA90" s="153"/>
      <c r="AB90" s="154"/>
      <c r="AC90" s="158" t="str">
        <f t="shared" si="8"/>
        <v/>
      </c>
      <c r="AD90" s="158" t="str">
        <f t="shared" si="9"/>
        <v/>
      </c>
      <c r="AF90" s="153"/>
      <c r="AG90" s="154"/>
      <c r="AH90" s="159" t="str">
        <f t="shared" si="10"/>
        <v/>
      </c>
      <c r="AI90" s="159" t="str">
        <f t="shared" si="11"/>
        <v/>
      </c>
    </row>
    <row r="91" spans="2:35">
      <c r="B91" s="153"/>
      <c r="C91" s="154"/>
      <c r="D91" s="175" t="str">
        <f>IF(ISBLANK(C91),"",SUMIF($AN$5:$AN$1004,B91,$AO$5:$AO$1004))</f>
        <v/>
      </c>
      <c r="E91" s="175" t="str">
        <f t="shared" si="0"/>
        <v/>
      </c>
      <c r="G91" s="153"/>
      <c r="H91" s="154"/>
      <c r="I91" s="185" t="str">
        <f>IF(ISBLANK(H91),"",SUMIF($AN$5:$AN$1004,G91,$AO$5:$AO$1004))</f>
        <v/>
      </c>
      <c r="J91" s="185" t="str">
        <f t="shared" si="1"/>
        <v/>
      </c>
      <c r="L91" s="153"/>
      <c r="M91" s="154"/>
      <c r="N91" s="155" t="str">
        <f t="shared" si="2"/>
        <v/>
      </c>
      <c r="O91" s="155" t="str">
        <f t="shared" si="3"/>
        <v/>
      </c>
      <c r="Q91" s="153"/>
      <c r="R91" s="154"/>
      <c r="S91" s="156" t="str">
        <f t="shared" si="4"/>
        <v/>
      </c>
      <c r="T91" s="156" t="str">
        <f t="shared" si="5"/>
        <v/>
      </c>
      <c r="V91" s="153"/>
      <c r="W91" s="154"/>
      <c r="X91" s="157" t="str">
        <f t="shared" si="6"/>
        <v/>
      </c>
      <c r="Y91" s="157" t="str">
        <f t="shared" si="7"/>
        <v/>
      </c>
      <c r="AA91" s="153"/>
      <c r="AB91" s="154"/>
      <c r="AC91" s="158" t="str">
        <f t="shared" si="8"/>
        <v/>
      </c>
      <c r="AD91" s="158" t="str">
        <f t="shared" si="9"/>
        <v/>
      </c>
      <c r="AF91" s="153"/>
      <c r="AG91" s="154"/>
      <c r="AH91" s="159" t="str">
        <f t="shared" si="10"/>
        <v/>
      </c>
      <c r="AI91" s="159" t="str">
        <f t="shared" si="11"/>
        <v/>
      </c>
    </row>
    <row r="92" spans="2:35">
      <c r="B92" s="153"/>
      <c r="C92" s="154"/>
      <c r="D92" s="175" t="str">
        <f>IF(ISBLANK(C92),"",SUMIF($AN$5:$AN$1004,B92,$AO$5:$AO$1004))</f>
        <v/>
      </c>
      <c r="E92" s="175" t="str">
        <f t="shared" si="0"/>
        <v/>
      </c>
      <c r="G92" s="153"/>
      <c r="H92" s="154"/>
      <c r="I92" s="185" t="str">
        <f>IF(ISBLANK(H92),"",SUMIF($AN$5:$AN$1004,G92,$AO$5:$AO$1004))</f>
        <v/>
      </c>
      <c r="J92" s="185" t="str">
        <f t="shared" si="1"/>
        <v/>
      </c>
      <c r="L92" s="153"/>
      <c r="M92" s="154"/>
      <c r="N92" s="155" t="str">
        <f t="shared" si="2"/>
        <v/>
      </c>
      <c r="O92" s="155" t="str">
        <f t="shared" si="3"/>
        <v/>
      </c>
      <c r="Q92" s="153"/>
      <c r="R92" s="154"/>
      <c r="S92" s="156" t="str">
        <f t="shared" si="4"/>
        <v/>
      </c>
      <c r="T92" s="156" t="str">
        <f t="shared" si="5"/>
        <v/>
      </c>
      <c r="V92" s="153"/>
      <c r="W92" s="154"/>
      <c r="X92" s="157" t="str">
        <f t="shared" si="6"/>
        <v/>
      </c>
      <c r="Y92" s="157" t="str">
        <f t="shared" si="7"/>
        <v/>
      </c>
      <c r="AA92" s="153"/>
      <c r="AB92" s="154"/>
      <c r="AC92" s="158" t="str">
        <f t="shared" si="8"/>
        <v/>
      </c>
      <c r="AD92" s="158" t="str">
        <f t="shared" si="9"/>
        <v/>
      </c>
      <c r="AF92" s="153"/>
      <c r="AG92" s="154"/>
      <c r="AH92" s="159" t="str">
        <f t="shared" si="10"/>
        <v/>
      </c>
      <c r="AI92" s="159" t="str">
        <f t="shared" si="11"/>
        <v/>
      </c>
    </row>
    <row r="93" spans="2:35">
      <c r="B93" s="153"/>
      <c r="C93" s="154"/>
      <c r="D93" s="175" t="str">
        <f>IF(ISBLANK(C93),"",SUMIF($AN$5:$AN$1004,B93,$AO$5:$AO$1004))</f>
        <v/>
      </c>
      <c r="E93" s="175" t="str">
        <f t="shared" si="0"/>
        <v/>
      </c>
      <c r="G93" s="153"/>
      <c r="H93" s="154"/>
      <c r="I93" s="185" t="str">
        <f>IF(ISBLANK(H93),"",SUMIF($AN$5:$AN$1004,G93,$AO$5:$AO$1004))</f>
        <v/>
      </c>
      <c r="J93" s="185" t="str">
        <f t="shared" si="1"/>
        <v/>
      </c>
      <c r="L93" s="153"/>
      <c r="M93" s="154"/>
      <c r="N93" s="155" t="str">
        <f t="shared" si="2"/>
        <v/>
      </c>
      <c r="O93" s="155" t="str">
        <f t="shared" si="3"/>
        <v/>
      </c>
      <c r="Q93" s="153"/>
      <c r="R93" s="154"/>
      <c r="S93" s="156" t="str">
        <f t="shared" si="4"/>
        <v/>
      </c>
      <c r="T93" s="156" t="str">
        <f t="shared" si="5"/>
        <v/>
      </c>
      <c r="V93" s="153"/>
      <c r="W93" s="154"/>
      <c r="X93" s="157" t="str">
        <f t="shared" si="6"/>
        <v/>
      </c>
      <c r="Y93" s="157" t="str">
        <f t="shared" si="7"/>
        <v/>
      </c>
      <c r="AA93" s="153"/>
      <c r="AB93" s="154"/>
      <c r="AC93" s="158" t="str">
        <f t="shared" si="8"/>
        <v/>
      </c>
      <c r="AD93" s="158" t="str">
        <f t="shared" si="9"/>
        <v/>
      </c>
      <c r="AF93" s="153"/>
      <c r="AG93" s="154"/>
      <c r="AH93" s="159" t="str">
        <f t="shared" si="10"/>
        <v/>
      </c>
      <c r="AI93" s="159" t="str">
        <f t="shared" si="11"/>
        <v/>
      </c>
    </row>
    <row r="94" spans="2:35">
      <c r="B94" s="153"/>
      <c r="C94" s="154"/>
      <c r="D94" s="175" t="str">
        <f>IF(ISBLANK(C94),"",SUMIF($AN$5:$AN$1004,B94,$AO$5:$AO$1004))</f>
        <v/>
      </c>
      <c r="E94" s="175" t="str">
        <f t="shared" ref="E94:E129" si="12">IF(ISBLANK(C94),"",D94-C94)</f>
        <v/>
      </c>
      <c r="G94" s="153"/>
      <c r="H94" s="154"/>
      <c r="I94" s="185" t="str">
        <f>IF(ISBLANK(H94),"",SUMIF($AN$5:$AN$1004,G94,$AO$5:$AO$1004))</f>
        <v/>
      </c>
      <c r="J94" s="185" t="str">
        <f t="shared" ref="J94:J130" si="13">IF(ISBLANK(H94),"",I94-H94)</f>
        <v/>
      </c>
      <c r="L94" s="153"/>
      <c r="M94" s="154"/>
      <c r="N94" s="155" t="str">
        <f t="shared" ref="N94:N129" si="14">IF(ISBLANK(M94),"",SUMIF($AN$5:$AN$1004,L94,$AO$5:$AO$1004))</f>
        <v/>
      </c>
      <c r="O94" s="155" t="str">
        <f t="shared" ref="O94:O130" si="15">IF(ISBLANK(M94),"",N94-M94)</f>
        <v/>
      </c>
      <c r="Q94" s="153"/>
      <c r="R94" s="154"/>
      <c r="S94" s="156" t="str">
        <f t="shared" ref="S94:S129" si="16">IF(ISBLANK(R94),"",SUMIF($AN$5:$AN$1004,Q94,$AO$5:$AO$1004))</f>
        <v/>
      </c>
      <c r="T94" s="156" t="str">
        <f t="shared" ref="T94:T130" si="17">IF(ISBLANK(R94),"",S94-R94)</f>
        <v/>
      </c>
      <c r="V94" s="153"/>
      <c r="W94" s="154"/>
      <c r="X94" s="157" t="str">
        <f t="shared" ref="X94:X129" si="18">IF(ISBLANK(W94),"",SUMIF($AN$5:$AN$1004,V94,$AO$5:$AO$1004))</f>
        <v/>
      </c>
      <c r="Y94" s="157" t="str">
        <f t="shared" ref="Y94:Y129" si="19">IF(ISBLANK(W94),"",X94-W94)</f>
        <v/>
      </c>
      <c r="AA94" s="153"/>
      <c r="AB94" s="154"/>
      <c r="AC94" s="158" t="str">
        <f t="shared" ref="AC94:AC129" si="20">IF(ISBLANK(AB94),"",SUMIF($AN$5:$AN$1004,AA94,$AO$5:$AO$1004))</f>
        <v/>
      </c>
      <c r="AD94" s="158" t="str">
        <f t="shared" ref="AD94:AD129" si="21">IF(ISBLANK(AB94),"",AC94-AB94)</f>
        <v/>
      </c>
      <c r="AF94" s="153"/>
      <c r="AG94" s="154"/>
      <c r="AH94" s="159" t="str">
        <f t="shared" ref="AH94:AH129" si="22">IF(ISBLANK(AG94),"",SUMIF($AN$5:$AN$1004,AF94,$AO$5:$AO$1004))</f>
        <v/>
      </c>
      <c r="AI94" s="159" t="str">
        <f t="shared" ref="AI94:AI129" si="23">IF(ISBLANK(AG94),"",AH94-AG94)</f>
        <v/>
      </c>
    </row>
    <row r="95" spans="2:35">
      <c r="B95" s="153"/>
      <c r="C95" s="154"/>
      <c r="D95" s="175" t="str">
        <f>IF(ISBLANK(C95),"",SUMIF($AN$5:$AN$1004,B95,$AO$5:$AO$1004))</f>
        <v/>
      </c>
      <c r="E95" s="175" t="str">
        <f t="shared" si="12"/>
        <v/>
      </c>
      <c r="G95" s="153"/>
      <c r="H95" s="154"/>
      <c r="I95" s="185" t="str">
        <f>IF(ISBLANK(H95),"",SUMIF($AN$5:$AN$1004,G95,$AO$5:$AO$1004))</f>
        <v/>
      </c>
      <c r="J95" s="185" t="str">
        <f t="shared" si="13"/>
        <v/>
      </c>
      <c r="L95" s="153"/>
      <c r="M95" s="154"/>
      <c r="N95" s="155" t="str">
        <f t="shared" si="14"/>
        <v/>
      </c>
      <c r="O95" s="155" t="str">
        <f t="shared" si="15"/>
        <v/>
      </c>
      <c r="Q95" s="153"/>
      <c r="R95" s="154"/>
      <c r="S95" s="156" t="str">
        <f t="shared" si="16"/>
        <v/>
      </c>
      <c r="T95" s="156" t="str">
        <f t="shared" si="17"/>
        <v/>
      </c>
      <c r="V95" s="153"/>
      <c r="W95" s="154"/>
      <c r="X95" s="157" t="str">
        <f t="shared" si="18"/>
        <v/>
      </c>
      <c r="Y95" s="157" t="str">
        <f t="shared" si="19"/>
        <v/>
      </c>
      <c r="AA95" s="153"/>
      <c r="AB95" s="154"/>
      <c r="AC95" s="158" t="str">
        <f t="shared" si="20"/>
        <v/>
      </c>
      <c r="AD95" s="158" t="str">
        <f t="shared" si="21"/>
        <v/>
      </c>
      <c r="AF95" s="153"/>
      <c r="AG95" s="154"/>
      <c r="AH95" s="159" t="str">
        <f t="shared" si="22"/>
        <v/>
      </c>
      <c r="AI95" s="159" t="str">
        <f t="shared" si="23"/>
        <v/>
      </c>
    </row>
    <row r="96" spans="2:35">
      <c r="B96" s="153"/>
      <c r="C96" s="154"/>
      <c r="D96" s="175" t="str">
        <f>IF(ISBLANK(C96),"",SUMIF($AN$5:$AN$1004,B96,$AO$5:$AO$1004))</f>
        <v/>
      </c>
      <c r="E96" s="175" t="str">
        <f t="shared" si="12"/>
        <v/>
      </c>
      <c r="G96" s="153"/>
      <c r="H96" s="154"/>
      <c r="I96" s="185" t="str">
        <f>IF(ISBLANK(H96),"",SUMIF($AN$5:$AN$1004,G96,$AO$5:$AO$1004))</f>
        <v/>
      </c>
      <c r="J96" s="185" t="str">
        <f t="shared" si="13"/>
        <v/>
      </c>
      <c r="L96" s="153"/>
      <c r="M96" s="154"/>
      <c r="N96" s="155" t="str">
        <f t="shared" si="14"/>
        <v/>
      </c>
      <c r="O96" s="155" t="str">
        <f t="shared" si="15"/>
        <v/>
      </c>
      <c r="Q96" s="153"/>
      <c r="R96" s="154"/>
      <c r="S96" s="156" t="str">
        <f t="shared" si="16"/>
        <v/>
      </c>
      <c r="T96" s="156" t="str">
        <f t="shared" si="17"/>
        <v/>
      </c>
      <c r="V96" s="153"/>
      <c r="W96" s="154"/>
      <c r="X96" s="157" t="str">
        <f t="shared" si="18"/>
        <v/>
      </c>
      <c r="Y96" s="157" t="str">
        <f t="shared" si="19"/>
        <v/>
      </c>
      <c r="AA96" s="153"/>
      <c r="AB96" s="154"/>
      <c r="AC96" s="158" t="str">
        <f t="shared" si="20"/>
        <v/>
      </c>
      <c r="AD96" s="158" t="str">
        <f t="shared" si="21"/>
        <v/>
      </c>
      <c r="AF96" s="153"/>
      <c r="AG96" s="154"/>
      <c r="AH96" s="159" t="str">
        <f t="shared" si="22"/>
        <v/>
      </c>
      <c r="AI96" s="159" t="str">
        <f t="shared" si="23"/>
        <v/>
      </c>
    </row>
    <row r="97" spans="2:35">
      <c r="B97" s="153"/>
      <c r="C97" s="154"/>
      <c r="D97" s="175" t="str">
        <f>IF(ISBLANK(C97),"",SUMIF($AN$5:$AN$1004,B97,$AO$5:$AO$1004))</f>
        <v/>
      </c>
      <c r="E97" s="175" t="str">
        <f t="shared" si="12"/>
        <v/>
      </c>
      <c r="G97" s="153"/>
      <c r="H97" s="154"/>
      <c r="I97" s="185" t="str">
        <f>IF(ISBLANK(H97),"",SUMIF($AN$5:$AN$1004,G97,$AO$5:$AO$1004))</f>
        <v/>
      </c>
      <c r="J97" s="185" t="str">
        <f t="shared" si="13"/>
        <v/>
      </c>
      <c r="L97" s="153"/>
      <c r="M97" s="154"/>
      <c r="N97" s="155" t="str">
        <f t="shared" si="14"/>
        <v/>
      </c>
      <c r="O97" s="155" t="str">
        <f t="shared" si="15"/>
        <v/>
      </c>
      <c r="Q97" s="153"/>
      <c r="R97" s="154"/>
      <c r="S97" s="156" t="str">
        <f t="shared" si="16"/>
        <v/>
      </c>
      <c r="T97" s="156" t="str">
        <f t="shared" si="17"/>
        <v/>
      </c>
      <c r="V97" s="153"/>
      <c r="W97" s="154"/>
      <c r="X97" s="157" t="str">
        <f t="shared" si="18"/>
        <v/>
      </c>
      <c r="Y97" s="157" t="str">
        <f t="shared" si="19"/>
        <v/>
      </c>
      <c r="AA97" s="153"/>
      <c r="AB97" s="154"/>
      <c r="AC97" s="158" t="str">
        <f t="shared" si="20"/>
        <v/>
      </c>
      <c r="AD97" s="158" t="str">
        <f t="shared" si="21"/>
        <v/>
      </c>
      <c r="AF97" s="153"/>
      <c r="AG97" s="154"/>
      <c r="AH97" s="159" t="str">
        <f t="shared" si="22"/>
        <v/>
      </c>
      <c r="AI97" s="159" t="str">
        <f t="shared" si="23"/>
        <v/>
      </c>
    </row>
    <row r="98" spans="2:35">
      <c r="B98" s="153"/>
      <c r="C98" s="154"/>
      <c r="D98" s="175" t="str">
        <f>IF(ISBLANK(C98),"",SUMIF($AN$5:$AN$1004,B98,$AO$5:$AO$1004))</f>
        <v/>
      </c>
      <c r="E98" s="175" t="str">
        <f t="shared" si="12"/>
        <v/>
      </c>
      <c r="G98" s="153"/>
      <c r="H98" s="154"/>
      <c r="I98" s="185" t="str">
        <f>IF(ISBLANK(H98),"",SUMIF($AN$5:$AN$1004,G98,$AO$5:$AO$1004))</f>
        <v/>
      </c>
      <c r="J98" s="185" t="str">
        <f t="shared" si="13"/>
        <v/>
      </c>
      <c r="L98" s="153"/>
      <c r="M98" s="154"/>
      <c r="N98" s="155" t="str">
        <f t="shared" si="14"/>
        <v/>
      </c>
      <c r="O98" s="155" t="str">
        <f t="shared" si="15"/>
        <v/>
      </c>
      <c r="Q98" s="153"/>
      <c r="R98" s="154"/>
      <c r="S98" s="156" t="str">
        <f t="shared" si="16"/>
        <v/>
      </c>
      <c r="T98" s="156" t="str">
        <f t="shared" si="17"/>
        <v/>
      </c>
      <c r="V98" s="153"/>
      <c r="W98" s="154"/>
      <c r="X98" s="157" t="str">
        <f t="shared" si="18"/>
        <v/>
      </c>
      <c r="Y98" s="157" t="str">
        <f t="shared" si="19"/>
        <v/>
      </c>
      <c r="AA98" s="153"/>
      <c r="AB98" s="154"/>
      <c r="AC98" s="158" t="str">
        <f t="shared" si="20"/>
        <v/>
      </c>
      <c r="AD98" s="158" t="str">
        <f t="shared" si="21"/>
        <v/>
      </c>
      <c r="AF98" s="153"/>
      <c r="AG98" s="154"/>
      <c r="AH98" s="159" t="str">
        <f t="shared" si="22"/>
        <v/>
      </c>
      <c r="AI98" s="159" t="str">
        <f t="shared" si="23"/>
        <v/>
      </c>
    </row>
    <row r="99" spans="2:35">
      <c r="B99" s="153"/>
      <c r="C99" s="154"/>
      <c r="D99" s="175" t="str">
        <f>IF(ISBLANK(C99),"",SUMIF($AN$5:$AN$1004,B99,$AO$5:$AO$1004))</f>
        <v/>
      </c>
      <c r="E99" s="175" t="str">
        <f t="shared" si="12"/>
        <v/>
      </c>
      <c r="G99" s="153"/>
      <c r="H99" s="154"/>
      <c r="I99" s="185" t="str">
        <f>IF(ISBLANK(H99),"",SUMIF($AN$5:$AN$1004,G99,$AO$5:$AO$1004))</f>
        <v/>
      </c>
      <c r="J99" s="185" t="str">
        <f t="shared" si="13"/>
        <v/>
      </c>
      <c r="L99" s="153"/>
      <c r="M99" s="154"/>
      <c r="N99" s="155" t="str">
        <f t="shared" si="14"/>
        <v/>
      </c>
      <c r="O99" s="155" t="str">
        <f t="shared" si="15"/>
        <v/>
      </c>
      <c r="Q99" s="153"/>
      <c r="R99" s="154"/>
      <c r="S99" s="156" t="str">
        <f t="shared" si="16"/>
        <v/>
      </c>
      <c r="T99" s="156" t="str">
        <f t="shared" si="17"/>
        <v/>
      </c>
      <c r="V99" s="153"/>
      <c r="W99" s="154"/>
      <c r="X99" s="157" t="str">
        <f t="shared" si="18"/>
        <v/>
      </c>
      <c r="Y99" s="157" t="str">
        <f t="shared" si="19"/>
        <v/>
      </c>
      <c r="AA99" s="153"/>
      <c r="AB99" s="154"/>
      <c r="AC99" s="158" t="str">
        <f t="shared" si="20"/>
        <v/>
      </c>
      <c r="AD99" s="158" t="str">
        <f t="shared" si="21"/>
        <v/>
      </c>
      <c r="AF99" s="153"/>
      <c r="AG99" s="154"/>
      <c r="AH99" s="159" t="str">
        <f t="shared" si="22"/>
        <v/>
      </c>
      <c r="AI99" s="159" t="str">
        <f t="shared" si="23"/>
        <v/>
      </c>
    </row>
    <row r="100" spans="2:35">
      <c r="B100" s="153"/>
      <c r="C100" s="154"/>
      <c r="D100" s="175" t="str">
        <f>IF(ISBLANK(C100),"",SUMIF($AN$5:$AN$1004,B100,$AO$5:$AO$1004))</f>
        <v/>
      </c>
      <c r="E100" s="175" t="str">
        <f t="shared" si="12"/>
        <v/>
      </c>
      <c r="G100" s="153"/>
      <c r="H100" s="154"/>
      <c r="I100" s="185" t="str">
        <f>IF(ISBLANK(H100),"",SUMIF($AN$5:$AN$1004,G100,$AO$5:$AO$1004))</f>
        <v/>
      </c>
      <c r="J100" s="185" t="str">
        <f t="shared" si="13"/>
        <v/>
      </c>
      <c r="L100" s="153"/>
      <c r="M100" s="154"/>
      <c r="N100" s="155" t="str">
        <f t="shared" si="14"/>
        <v/>
      </c>
      <c r="O100" s="155" t="str">
        <f t="shared" si="15"/>
        <v/>
      </c>
      <c r="Q100" s="153"/>
      <c r="R100" s="154"/>
      <c r="S100" s="156" t="str">
        <f t="shared" si="16"/>
        <v/>
      </c>
      <c r="T100" s="156" t="str">
        <f t="shared" si="17"/>
        <v/>
      </c>
      <c r="V100" s="153"/>
      <c r="W100" s="154"/>
      <c r="X100" s="157" t="str">
        <f t="shared" si="18"/>
        <v/>
      </c>
      <c r="Y100" s="157" t="str">
        <f t="shared" si="19"/>
        <v/>
      </c>
      <c r="AA100" s="153"/>
      <c r="AB100" s="154"/>
      <c r="AC100" s="158" t="str">
        <f t="shared" si="20"/>
        <v/>
      </c>
      <c r="AD100" s="158" t="str">
        <f t="shared" si="21"/>
        <v/>
      </c>
      <c r="AF100" s="153"/>
      <c r="AG100" s="154"/>
      <c r="AH100" s="159" t="str">
        <f t="shared" si="22"/>
        <v/>
      </c>
      <c r="AI100" s="159" t="str">
        <f t="shared" si="23"/>
        <v/>
      </c>
    </row>
    <row r="101" spans="2:35">
      <c r="B101" s="153"/>
      <c r="C101" s="154"/>
      <c r="D101" s="175" t="str">
        <f>IF(ISBLANK(C101),"",SUMIF($AN$5:$AN$1004,B101,$AO$5:$AO$1004))</f>
        <v/>
      </c>
      <c r="E101" s="175" t="str">
        <f t="shared" si="12"/>
        <v/>
      </c>
      <c r="G101" s="153"/>
      <c r="H101" s="154"/>
      <c r="I101" s="185" t="str">
        <f>IF(ISBLANK(H101),"",SUMIF($AN$5:$AN$1004,G101,$AO$5:$AO$1004))</f>
        <v/>
      </c>
      <c r="J101" s="185" t="str">
        <f t="shared" si="13"/>
        <v/>
      </c>
      <c r="L101" s="153"/>
      <c r="M101" s="154"/>
      <c r="N101" s="155" t="str">
        <f t="shared" si="14"/>
        <v/>
      </c>
      <c r="O101" s="155" t="str">
        <f t="shared" si="15"/>
        <v/>
      </c>
      <c r="Q101" s="153"/>
      <c r="R101" s="154"/>
      <c r="S101" s="156" t="str">
        <f t="shared" si="16"/>
        <v/>
      </c>
      <c r="T101" s="156" t="str">
        <f t="shared" si="17"/>
        <v/>
      </c>
      <c r="V101" s="153"/>
      <c r="W101" s="154"/>
      <c r="X101" s="157" t="str">
        <f t="shared" si="18"/>
        <v/>
      </c>
      <c r="Y101" s="157" t="str">
        <f t="shared" si="19"/>
        <v/>
      </c>
      <c r="AA101" s="153"/>
      <c r="AB101" s="154"/>
      <c r="AC101" s="158" t="str">
        <f t="shared" si="20"/>
        <v/>
      </c>
      <c r="AD101" s="158" t="str">
        <f t="shared" si="21"/>
        <v/>
      </c>
      <c r="AF101" s="153"/>
      <c r="AG101" s="154"/>
      <c r="AH101" s="159" t="str">
        <f t="shared" si="22"/>
        <v/>
      </c>
      <c r="AI101" s="159" t="str">
        <f t="shared" si="23"/>
        <v/>
      </c>
    </row>
    <row r="102" spans="2:35">
      <c r="B102" s="153"/>
      <c r="C102" s="154"/>
      <c r="D102" s="175" t="str">
        <f>IF(ISBLANK(C102),"",SUMIF($AN$5:$AN$1004,B102,$AO$5:$AO$1004))</f>
        <v/>
      </c>
      <c r="E102" s="175" t="str">
        <f t="shared" si="12"/>
        <v/>
      </c>
      <c r="G102" s="153"/>
      <c r="H102" s="154"/>
      <c r="I102" s="185" t="str">
        <f>IF(ISBLANK(H102),"",SUMIF($AN$5:$AN$1004,G102,$AO$5:$AO$1004))</f>
        <v/>
      </c>
      <c r="J102" s="185" t="str">
        <f t="shared" si="13"/>
        <v/>
      </c>
      <c r="L102" s="153"/>
      <c r="M102" s="154"/>
      <c r="N102" s="155" t="str">
        <f t="shared" si="14"/>
        <v/>
      </c>
      <c r="O102" s="155" t="str">
        <f t="shared" si="15"/>
        <v/>
      </c>
      <c r="Q102" s="153"/>
      <c r="R102" s="154"/>
      <c r="S102" s="156" t="str">
        <f t="shared" si="16"/>
        <v/>
      </c>
      <c r="T102" s="156" t="str">
        <f t="shared" si="17"/>
        <v/>
      </c>
      <c r="V102" s="153"/>
      <c r="W102" s="154"/>
      <c r="X102" s="157" t="str">
        <f t="shared" si="18"/>
        <v/>
      </c>
      <c r="Y102" s="157" t="str">
        <f t="shared" si="19"/>
        <v/>
      </c>
      <c r="AA102" s="153"/>
      <c r="AB102" s="154"/>
      <c r="AC102" s="158" t="str">
        <f t="shared" si="20"/>
        <v/>
      </c>
      <c r="AD102" s="158" t="str">
        <f t="shared" si="21"/>
        <v/>
      </c>
      <c r="AF102" s="153"/>
      <c r="AG102" s="154"/>
      <c r="AH102" s="159" t="str">
        <f t="shared" si="22"/>
        <v/>
      </c>
      <c r="AI102" s="159" t="str">
        <f t="shared" si="23"/>
        <v/>
      </c>
    </row>
    <row r="103" spans="2:35">
      <c r="B103" s="153"/>
      <c r="C103" s="154"/>
      <c r="D103" s="175" t="str">
        <f>IF(ISBLANK(C103),"",SUMIF($AN$5:$AN$1004,B103,$AO$5:$AO$1004))</f>
        <v/>
      </c>
      <c r="E103" s="175" t="str">
        <f t="shared" si="12"/>
        <v/>
      </c>
      <c r="G103" s="153"/>
      <c r="H103" s="154"/>
      <c r="I103" s="185" t="str">
        <f>IF(ISBLANK(H103),"",SUMIF($AN$5:$AN$1004,G103,$AO$5:$AO$1004))</f>
        <v/>
      </c>
      <c r="J103" s="185" t="str">
        <f t="shared" si="13"/>
        <v/>
      </c>
      <c r="L103" s="153"/>
      <c r="M103" s="154"/>
      <c r="N103" s="155" t="str">
        <f t="shared" si="14"/>
        <v/>
      </c>
      <c r="O103" s="155" t="str">
        <f t="shared" si="15"/>
        <v/>
      </c>
      <c r="Q103" s="153"/>
      <c r="R103" s="154"/>
      <c r="S103" s="156" t="str">
        <f t="shared" si="16"/>
        <v/>
      </c>
      <c r="T103" s="156" t="str">
        <f t="shared" si="17"/>
        <v/>
      </c>
      <c r="V103" s="153"/>
      <c r="W103" s="154"/>
      <c r="X103" s="157" t="str">
        <f t="shared" si="18"/>
        <v/>
      </c>
      <c r="Y103" s="157" t="str">
        <f t="shared" si="19"/>
        <v/>
      </c>
      <c r="AA103" s="153"/>
      <c r="AB103" s="154"/>
      <c r="AC103" s="158" t="str">
        <f t="shared" si="20"/>
        <v/>
      </c>
      <c r="AD103" s="158" t="str">
        <f t="shared" si="21"/>
        <v/>
      </c>
      <c r="AF103" s="153"/>
      <c r="AG103" s="154"/>
      <c r="AH103" s="159" t="str">
        <f t="shared" si="22"/>
        <v/>
      </c>
      <c r="AI103" s="159" t="str">
        <f t="shared" si="23"/>
        <v/>
      </c>
    </row>
    <row r="104" spans="2:35">
      <c r="B104" s="153"/>
      <c r="C104" s="154"/>
      <c r="D104" s="175" t="str">
        <f>IF(ISBLANK(C104),"",SUMIF($AN$5:$AN$1004,B104,$AO$5:$AO$1004))</f>
        <v/>
      </c>
      <c r="E104" s="175" t="str">
        <f t="shared" si="12"/>
        <v/>
      </c>
      <c r="G104" s="153"/>
      <c r="H104" s="154"/>
      <c r="I104" s="185" t="str">
        <f>IF(ISBLANK(H104),"",SUMIF($AN$5:$AN$1004,G104,$AO$5:$AO$1004))</f>
        <v/>
      </c>
      <c r="J104" s="185" t="str">
        <f t="shared" si="13"/>
        <v/>
      </c>
      <c r="L104" s="153"/>
      <c r="M104" s="154"/>
      <c r="N104" s="155" t="str">
        <f t="shared" si="14"/>
        <v/>
      </c>
      <c r="O104" s="155" t="str">
        <f t="shared" si="15"/>
        <v/>
      </c>
      <c r="Q104" s="153"/>
      <c r="R104" s="154"/>
      <c r="S104" s="156" t="str">
        <f t="shared" si="16"/>
        <v/>
      </c>
      <c r="T104" s="156" t="str">
        <f t="shared" si="17"/>
        <v/>
      </c>
      <c r="V104" s="153"/>
      <c r="W104" s="154"/>
      <c r="X104" s="157" t="str">
        <f t="shared" si="18"/>
        <v/>
      </c>
      <c r="Y104" s="157" t="str">
        <f t="shared" si="19"/>
        <v/>
      </c>
      <c r="AA104" s="153"/>
      <c r="AB104" s="154"/>
      <c r="AC104" s="158" t="str">
        <f t="shared" si="20"/>
        <v/>
      </c>
      <c r="AD104" s="158" t="str">
        <f t="shared" si="21"/>
        <v/>
      </c>
      <c r="AF104" s="153"/>
      <c r="AG104" s="154"/>
      <c r="AH104" s="159" t="str">
        <f t="shared" si="22"/>
        <v/>
      </c>
      <c r="AI104" s="159" t="str">
        <f t="shared" si="23"/>
        <v/>
      </c>
    </row>
    <row r="105" spans="2:35">
      <c r="B105" s="153"/>
      <c r="C105" s="154"/>
      <c r="D105" s="175" t="str">
        <f>IF(ISBLANK(C105),"",SUMIF($AN$5:$AN$1004,B105,$AO$5:$AO$1004))</f>
        <v/>
      </c>
      <c r="E105" s="175" t="str">
        <f t="shared" si="12"/>
        <v/>
      </c>
      <c r="G105" s="153"/>
      <c r="H105" s="154"/>
      <c r="I105" s="185" t="str">
        <f>IF(ISBLANK(H105),"",SUMIF($AN$5:$AN$1004,G105,$AO$5:$AO$1004))</f>
        <v/>
      </c>
      <c r="J105" s="185" t="str">
        <f t="shared" si="13"/>
        <v/>
      </c>
      <c r="L105" s="153"/>
      <c r="M105" s="154"/>
      <c r="N105" s="155" t="str">
        <f t="shared" si="14"/>
        <v/>
      </c>
      <c r="O105" s="155" t="str">
        <f t="shared" si="15"/>
        <v/>
      </c>
      <c r="Q105" s="153"/>
      <c r="R105" s="154"/>
      <c r="S105" s="156" t="str">
        <f t="shared" si="16"/>
        <v/>
      </c>
      <c r="T105" s="156" t="str">
        <f t="shared" si="17"/>
        <v/>
      </c>
      <c r="V105" s="153"/>
      <c r="W105" s="154"/>
      <c r="X105" s="157" t="str">
        <f t="shared" si="18"/>
        <v/>
      </c>
      <c r="Y105" s="157" t="str">
        <f t="shared" si="19"/>
        <v/>
      </c>
      <c r="AA105" s="153"/>
      <c r="AB105" s="154"/>
      <c r="AC105" s="158" t="str">
        <f t="shared" si="20"/>
        <v/>
      </c>
      <c r="AD105" s="158" t="str">
        <f t="shared" si="21"/>
        <v/>
      </c>
      <c r="AF105" s="153"/>
      <c r="AG105" s="154"/>
      <c r="AH105" s="159" t="str">
        <f t="shared" si="22"/>
        <v/>
      </c>
      <c r="AI105" s="159" t="str">
        <f t="shared" si="23"/>
        <v/>
      </c>
    </row>
    <row r="106" spans="2:35">
      <c r="B106" s="153"/>
      <c r="C106" s="154"/>
      <c r="D106" s="175" t="str">
        <f>IF(ISBLANK(C106),"",SUMIF($AN$5:$AN$1004,B106,$AO$5:$AO$1004))</f>
        <v/>
      </c>
      <c r="E106" s="175" t="str">
        <f t="shared" si="12"/>
        <v/>
      </c>
      <c r="G106" s="153"/>
      <c r="H106" s="154"/>
      <c r="I106" s="185" t="str">
        <f>IF(ISBLANK(H106),"",SUMIF($AN$5:$AN$1004,G106,$AO$5:$AO$1004))</f>
        <v/>
      </c>
      <c r="J106" s="185" t="str">
        <f t="shared" si="13"/>
        <v/>
      </c>
      <c r="L106" s="153"/>
      <c r="M106" s="154"/>
      <c r="N106" s="155" t="str">
        <f t="shared" si="14"/>
        <v/>
      </c>
      <c r="O106" s="155" t="str">
        <f t="shared" si="15"/>
        <v/>
      </c>
      <c r="Q106" s="153"/>
      <c r="R106" s="154"/>
      <c r="S106" s="156" t="str">
        <f t="shared" si="16"/>
        <v/>
      </c>
      <c r="T106" s="156" t="str">
        <f t="shared" si="17"/>
        <v/>
      </c>
      <c r="V106" s="153"/>
      <c r="W106" s="154"/>
      <c r="X106" s="157" t="str">
        <f t="shared" si="18"/>
        <v/>
      </c>
      <c r="Y106" s="157" t="str">
        <f t="shared" si="19"/>
        <v/>
      </c>
      <c r="AA106" s="153"/>
      <c r="AB106" s="154"/>
      <c r="AC106" s="158" t="str">
        <f t="shared" si="20"/>
        <v/>
      </c>
      <c r="AD106" s="158" t="str">
        <f t="shared" si="21"/>
        <v/>
      </c>
      <c r="AF106" s="153"/>
      <c r="AG106" s="154"/>
      <c r="AH106" s="159" t="str">
        <f t="shared" si="22"/>
        <v/>
      </c>
      <c r="AI106" s="159" t="str">
        <f t="shared" si="23"/>
        <v/>
      </c>
    </row>
    <row r="107" spans="2:35">
      <c r="B107" s="153"/>
      <c r="C107" s="154"/>
      <c r="D107" s="175" t="str">
        <f>IF(ISBLANK(C107),"",SUMIF($AN$5:$AN$1004,B107,$AO$5:$AO$1004))</f>
        <v/>
      </c>
      <c r="E107" s="175" t="str">
        <f t="shared" si="12"/>
        <v/>
      </c>
      <c r="G107" s="153"/>
      <c r="H107" s="154"/>
      <c r="I107" s="185" t="str">
        <f>IF(ISBLANK(H107),"",SUMIF($AN$5:$AN$1004,G107,$AO$5:$AO$1004))</f>
        <v/>
      </c>
      <c r="J107" s="185" t="str">
        <f t="shared" si="13"/>
        <v/>
      </c>
      <c r="L107" s="153"/>
      <c r="M107" s="154"/>
      <c r="N107" s="155" t="str">
        <f t="shared" si="14"/>
        <v/>
      </c>
      <c r="O107" s="155" t="str">
        <f t="shared" si="15"/>
        <v/>
      </c>
      <c r="Q107" s="153"/>
      <c r="R107" s="154"/>
      <c r="S107" s="156" t="str">
        <f t="shared" si="16"/>
        <v/>
      </c>
      <c r="T107" s="156" t="str">
        <f t="shared" si="17"/>
        <v/>
      </c>
      <c r="V107" s="153"/>
      <c r="W107" s="154"/>
      <c r="X107" s="157" t="str">
        <f t="shared" si="18"/>
        <v/>
      </c>
      <c r="Y107" s="157" t="str">
        <f t="shared" si="19"/>
        <v/>
      </c>
      <c r="AA107" s="153"/>
      <c r="AB107" s="154"/>
      <c r="AC107" s="158" t="str">
        <f t="shared" si="20"/>
        <v/>
      </c>
      <c r="AD107" s="158" t="str">
        <f t="shared" si="21"/>
        <v/>
      </c>
      <c r="AF107" s="153"/>
      <c r="AG107" s="154"/>
      <c r="AH107" s="159" t="str">
        <f t="shared" si="22"/>
        <v/>
      </c>
      <c r="AI107" s="159" t="str">
        <f t="shared" si="23"/>
        <v/>
      </c>
    </row>
    <row r="108" spans="2:35">
      <c r="B108" s="153"/>
      <c r="C108" s="154"/>
      <c r="D108" s="175" t="str">
        <f>IF(ISBLANK(C108),"",SUMIF($AN$5:$AN$1004,B108,$AO$5:$AO$1004))</f>
        <v/>
      </c>
      <c r="E108" s="175" t="str">
        <f t="shared" si="12"/>
        <v/>
      </c>
      <c r="G108" s="153"/>
      <c r="H108" s="154"/>
      <c r="I108" s="185" t="str">
        <f>IF(ISBLANK(H108),"",SUMIF($AN$5:$AN$1004,G108,$AO$5:$AO$1004))</f>
        <v/>
      </c>
      <c r="J108" s="185" t="str">
        <f t="shared" si="13"/>
        <v/>
      </c>
      <c r="L108" s="153"/>
      <c r="M108" s="154"/>
      <c r="N108" s="155" t="str">
        <f t="shared" si="14"/>
        <v/>
      </c>
      <c r="O108" s="155" t="str">
        <f t="shared" si="15"/>
        <v/>
      </c>
      <c r="Q108" s="153"/>
      <c r="R108" s="154"/>
      <c r="S108" s="156" t="str">
        <f t="shared" si="16"/>
        <v/>
      </c>
      <c r="T108" s="156" t="str">
        <f t="shared" si="17"/>
        <v/>
      </c>
      <c r="V108" s="153"/>
      <c r="W108" s="154"/>
      <c r="X108" s="157" t="str">
        <f t="shared" si="18"/>
        <v/>
      </c>
      <c r="Y108" s="157" t="str">
        <f t="shared" si="19"/>
        <v/>
      </c>
      <c r="AA108" s="153"/>
      <c r="AB108" s="154"/>
      <c r="AC108" s="158" t="str">
        <f t="shared" si="20"/>
        <v/>
      </c>
      <c r="AD108" s="158" t="str">
        <f t="shared" si="21"/>
        <v/>
      </c>
      <c r="AF108" s="153"/>
      <c r="AG108" s="154"/>
      <c r="AH108" s="159" t="str">
        <f t="shared" si="22"/>
        <v/>
      </c>
      <c r="AI108" s="159" t="str">
        <f t="shared" si="23"/>
        <v/>
      </c>
    </row>
    <row r="109" spans="2:35">
      <c r="B109" s="153"/>
      <c r="C109" s="154"/>
      <c r="D109" s="175" t="str">
        <f>IF(ISBLANK(C109),"",SUMIF($AN$5:$AN$1004,B109,$AO$5:$AO$1004))</f>
        <v/>
      </c>
      <c r="E109" s="175" t="str">
        <f t="shared" si="12"/>
        <v/>
      </c>
      <c r="G109" s="153"/>
      <c r="H109" s="154"/>
      <c r="I109" s="185" t="str">
        <f>IF(ISBLANK(H109),"",SUMIF($AN$5:$AN$1004,G109,$AO$5:$AO$1004))</f>
        <v/>
      </c>
      <c r="J109" s="185" t="str">
        <f t="shared" si="13"/>
        <v/>
      </c>
      <c r="L109" s="153"/>
      <c r="M109" s="154"/>
      <c r="N109" s="155" t="str">
        <f t="shared" si="14"/>
        <v/>
      </c>
      <c r="O109" s="155" t="str">
        <f t="shared" si="15"/>
        <v/>
      </c>
      <c r="Q109" s="153"/>
      <c r="R109" s="154"/>
      <c r="S109" s="156" t="str">
        <f t="shared" si="16"/>
        <v/>
      </c>
      <c r="T109" s="156" t="str">
        <f t="shared" si="17"/>
        <v/>
      </c>
      <c r="V109" s="153"/>
      <c r="W109" s="154"/>
      <c r="X109" s="157" t="str">
        <f t="shared" si="18"/>
        <v/>
      </c>
      <c r="Y109" s="157" t="str">
        <f t="shared" si="19"/>
        <v/>
      </c>
      <c r="AA109" s="153"/>
      <c r="AB109" s="154"/>
      <c r="AC109" s="158" t="str">
        <f t="shared" si="20"/>
        <v/>
      </c>
      <c r="AD109" s="158" t="str">
        <f t="shared" si="21"/>
        <v/>
      </c>
      <c r="AF109" s="153"/>
      <c r="AG109" s="154"/>
      <c r="AH109" s="159" t="str">
        <f t="shared" si="22"/>
        <v/>
      </c>
      <c r="AI109" s="159" t="str">
        <f t="shared" si="23"/>
        <v/>
      </c>
    </row>
    <row r="110" spans="2:35">
      <c r="B110" s="153"/>
      <c r="C110" s="154"/>
      <c r="D110" s="175" t="str">
        <f>IF(ISBLANK(C110),"",SUMIF($AN$5:$AN$1004,B110,$AO$5:$AO$1004))</f>
        <v/>
      </c>
      <c r="E110" s="175" t="str">
        <f t="shared" si="12"/>
        <v/>
      </c>
      <c r="G110" s="153"/>
      <c r="H110" s="154"/>
      <c r="I110" s="185" t="str">
        <f>IF(ISBLANK(H110),"",SUMIF($AN$5:$AN$1004,G110,$AO$5:$AO$1004))</f>
        <v/>
      </c>
      <c r="J110" s="185" t="str">
        <f t="shared" si="13"/>
        <v/>
      </c>
      <c r="L110" s="153"/>
      <c r="M110" s="154"/>
      <c r="N110" s="155" t="str">
        <f t="shared" si="14"/>
        <v/>
      </c>
      <c r="O110" s="155" t="str">
        <f t="shared" si="15"/>
        <v/>
      </c>
      <c r="Q110" s="153"/>
      <c r="R110" s="154"/>
      <c r="S110" s="156" t="str">
        <f t="shared" si="16"/>
        <v/>
      </c>
      <c r="T110" s="156" t="str">
        <f t="shared" si="17"/>
        <v/>
      </c>
      <c r="V110" s="153"/>
      <c r="W110" s="154"/>
      <c r="X110" s="157" t="str">
        <f t="shared" si="18"/>
        <v/>
      </c>
      <c r="Y110" s="157" t="str">
        <f t="shared" si="19"/>
        <v/>
      </c>
      <c r="AA110" s="153"/>
      <c r="AB110" s="154"/>
      <c r="AC110" s="158" t="str">
        <f t="shared" si="20"/>
        <v/>
      </c>
      <c r="AD110" s="158" t="str">
        <f t="shared" si="21"/>
        <v/>
      </c>
      <c r="AF110" s="153"/>
      <c r="AG110" s="154"/>
      <c r="AH110" s="159" t="str">
        <f t="shared" si="22"/>
        <v/>
      </c>
      <c r="AI110" s="159" t="str">
        <f t="shared" si="23"/>
        <v/>
      </c>
    </row>
    <row r="111" spans="2:35">
      <c r="B111" s="153"/>
      <c r="C111" s="154"/>
      <c r="D111" s="175" t="str">
        <f>IF(ISBLANK(C111),"",SUMIF($AN$5:$AN$1004,B111,$AO$5:$AO$1004))</f>
        <v/>
      </c>
      <c r="E111" s="175" t="str">
        <f t="shared" si="12"/>
        <v/>
      </c>
      <c r="G111" s="153"/>
      <c r="H111" s="154"/>
      <c r="I111" s="185" t="str">
        <f>IF(ISBLANK(H111),"",SUMIF($AN$5:$AN$1004,G111,$AO$5:$AO$1004))</f>
        <v/>
      </c>
      <c r="J111" s="185" t="str">
        <f t="shared" si="13"/>
        <v/>
      </c>
      <c r="L111" s="153"/>
      <c r="M111" s="154"/>
      <c r="N111" s="155" t="str">
        <f t="shared" si="14"/>
        <v/>
      </c>
      <c r="O111" s="155" t="str">
        <f t="shared" si="15"/>
        <v/>
      </c>
      <c r="Q111" s="153"/>
      <c r="R111" s="154"/>
      <c r="S111" s="156" t="str">
        <f t="shared" si="16"/>
        <v/>
      </c>
      <c r="T111" s="156" t="str">
        <f t="shared" si="17"/>
        <v/>
      </c>
      <c r="V111" s="153"/>
      <c r="W111" s="154"/>
      <c r="X111" s="157" t="str">
        <f t="shared" si="18"/>
        <v/>
      </c>
      <c r="Y111" s="157" t="str">
        <f t="shared" si="19"/>
        <v/>
      </c>
      <c r="AA111" s="153"/>
      <c r="AB111" s="154"/>
      <c r="AC111" s="158" t="str">
        <f t="shared" si="20"/>
        <v/>
      </c>
      <c r="AD111" s="158" t="str">
        <f t="shared" si="21"/>
        <v/>
      </c>
      <c r="AF111" s="153"/>
      <c r="AG111" s="154"/>
      <c r="AH111" s="159" t="str">
        <f t="shared" si="22"/>
        <v/>
      </c>
      <c r="AI111" s="159" t="str">
        <f t="shared" si="23"/>
        <v/>
      </c>
    </row>
    <row r="112" spans="2:35">
      <c r="B112" s="153"/>
      <c r="C112" s="154"/>
      <c r="D112" s="175" t="str">
        <f>IF(ISBLANK(C112),"",SUMIF($AN$5:$AN$1004,B112,$AO$5:$AO$1004))</f>
        <v/>
      </c>
      <c r="E112" s="175" t="str">
        <f t="shared" si="12"/>
        <v/>
      </c>
      <c r="G112" s="153"/>
      <c r="H112" s="154"/>
      <c r="I112" s="185" t="str">
        <f>IF(ISBLANK(H112),"",SUMIF($AN$5:$AN$1004,G112,$AO$5:$AO$1004))</f>
        <v/>
      </c>
      <c r="J112" s="185" t="str">
        <f t="shared" si="13"/>
        <v/>
      </c>
      <c r="L112" s="153"/>
      <c r="M112" s="154"/>
      <c r="N112" s="155" t="str">
        <f t="shared" si="14"/>
        <v/>
      </c>
      <c r="O112" s="155" t="str">
        <f t="shared" si="15"/>
        <v/>
      </c>
      <c r="Q112" s="153"/>
      <c r="R112" s="154"/>
      <c r="S112" s="156" t="str">
        <f t="shared" si="16"/>
        <v/>
      </c>
      <c r="T112" s="156" t="str">
        <f t="shared" si="17"/>
        <v/>
      </c>
      <c r="V112" s="153"/>
      <c r="W112" s="154"/>
      <c r="X112" s="157" t="str">
        <f t="shared" si="18"/>
        <v/>
      </c>
      <c r="Y112" s="157" t="str">
        <f t="shared" si="19"/>
        <v/>
      </c>
      <c r="AA112" s="153"/>
      <c r="AB112" s="154"/>
      <c r="AC112" s="158" t="str">
        <f t="shared" si="20"/>
        <v/>
      </c>
      <c r="AD112" s="158" t="str">
        <f t="shared" si="21"/>
        <v/>
      </c>
      <c r="AF112" s="153"/>
      <c r="AG112" s="154"/>
      <c r="AH112" s="159" t="str">
        <f t="shared" si="22"/>
        <v/>
      </c>
      <c r="AI112" s="159" t="str">
        <f t="shared" si="23"/>
        <v/>
      </c>
    </row>
    <row r="113" spans="2:35">
      <c r="B113" s="153"/>
      <c r="C113" s="154"/>
      <c r="D113" s="175" t="str">
        <f>IF(ISBLANK(C113),"",SUMIF($AN$5:$AN$1004,B113,$AO$5:$AO$1004))</f>
        <v/>
      </c>
      <c r="E113" s="175" t="str">
        <f t="shared" si="12"/>
        <v/>
      </c>
      <c r="G113" s="153"/>
      <c r="H113" s="154"/>
      <c r="I113" s="185" t="str">
        <f>IF(ISBLANK(H113),"",SUMIF($AN$5:$AN$1004,G113,$AO$5:$AO$1004))</f>
        <v/>
      </c>
      <c r="J113" s="185" t="str">
        <f t="shared" si="13"/>
        <v/>
      </c>
      <c r="L113" s="153"/>
      <c r="M113" s="154"/>
      <c r="N113" s="155" t="str">
        <f t="shared" si="14"/>
        <v/>
      </c>
      <c r="O113" s="155" t="str">
        <f t="shared" si="15"/>
        <v/>
      </c>
      <c r="Q113" s="153"/>
      <c r="R113" s="154"/>
      <c r="S113" s="156" t="str">
        <f t="shared" si="16"/>
        <v/>
      </c>
      <c r="T113" s="156" t="str">
        <f t="shared" si="17"/>
        <v/>
      </c>
      <c r="V113" s="153"/>
      <c r="W113" s="154"/>
      <c r="X113" s="157" t="str">
        <f t="shared" si="18"/>
        <v/>
      </c>
      <c r="Y113" s="157" t="str">
        <f t="shared" si="19"/>
        <v/>
      </c>
      <c r="AA113" s="153"/>
      <c r="AB113" s="154"/>
      <c r="AC113" s="158" t="str">
        <f t="shared" si="20"/>
        <v/>
      </c>
      <c r="AD113" s="158" t="str">
        <f t="shared" si="21"/>
        <v/>
      </c>
      <c r="AF113" s="153"/>
      <c r="AG113" s="154"/>
      <c r="AH113" s="159" t="str">
        <f t="shared" si="22"/>
        <v/>
      </c>
      <c r="AI113" s="159" t="str">
        <f t="shared" si="23"/>
        <v/>
      </c>
    </row>
    <row r="114" spans="2:35">
      <c r="B114" s="153"/>
      <c r="C114" s="154"/>
      <c r="D114" s="175" t="str">
        <f>IF(ISBLANK(C114),"",SUMIF($AN$5:$AN$1004,B114,$AO$5:$AO$1004))</f>
        <v/>
      </c>
      <c r="E114" s="175" t="str">
        <f t="shared" si="12"/>
        <v/>
      </c>
      <c r="G114" s="153"/>
      <c r="H114" s="154"/>
      <c r="I114" s="185" t="str">
        <f>IF(ISBLANK(H114),"",SUMIF($AN$5:$AN$1004,G114,$AO$5:$AO$1004))</f>
        <v/>
      </c>
      <c r="J114" s="185" t="str">
        <f t="shared" si="13"/>
        <v/>
      </c>
      <c r="L114" s="153"/>
      <c r="M114" s="154"/>
      <c r="N114" s="155" t="str">
        <f t="shared" si="14"/>
        <v/>
      </c>
      <c r="O114" s="155" t="str">
        <f t="shared" si="15"/>
        <v/>
      </c>
      <c r="Q114" s="153"/>
      <c r="R114" s="154"/>
      <c r="S114" s="156" t="str">
        <f t="shared" si="16"/>
        <v/>
      </c>
      <c r="T114" s="156" t="str">
        <f t="shared" si="17"/>
        <v/>
      </c>
      <c r="V114" s="153"/>
      <c r="W114" s="154"/>
      <c r="X114" s="157" t="str">
        <f t="shared" si="18"/>
        <v/>
      </c>
      <c r="Y114" s="157" t="str">
        <f t="shared" si="19"/>
        <v/>
      </c>
      <c r="AA114" s="153"/>
      <c r="AB114" s="154"/>
      <c r="AC114" s="158" t="str">
        <f t="shared" si="20"/>
        <v/>
      </c>
      <c r="AD114" s="158" t="str">
        <f t="shared" si="21"/>
        <v/>
      </c>
      <c r="AF114" s="153"/>
      <c r="AG114" s="154"/>
      <c r="AH114" s="159" t="str">
        <f t="shared" si="22"/>
        <v/>
      </c>
      <c r="AI114" s="159" t="str">
        <f t="shared" si="23"/>
        <v/>
      </c>
    </row>
    <row r="115" spans="2:35">
      <c r="B115" s="153"/>
      <c r="C115" s="154"/>
      <c r="D115" s="175" t="str">
        <f>IF(ISBLANK(C115),"",SUMIF($AN$5:$AN$1004,B115,$AO$5:$AO$1004))</f>
        <v/>
      </c>
      <c r="E115" s="175" t="str">
        <f t="shared" si="12"/>
        <v/>
      </c>
      <c r="G115" s="153"/>
      <c r="H115" s="154"/>
      <c r="I115" s="185" t="str">
        <f>IF(ISBLANK(H115),"",SUMIF($AN$5:$AN$1004,G115,$AO$5:$AO$1004))</f>
        <v/>
      </c>
      <c r="J115" s="185" t="str">
        <f t="shared" si="13"/>
        <v/>
      </c>
      <c r="L115" s="153"/>
      <c r="M115" s="154"/>
      <c r="N115" s="155" t="str">
        <f t="shared" si="14"/>
        <v/>
      </c>
      <c r="O115" s="155" t="str">
        <f t="shared" si="15"/>
        <v/>
      </c>
      <c r="Q115" s="153"/>
      <c r="R115" s="154"/>
      <c r="S115" s="156" t="str">
        <f t="shared" si="16"/>
        <v/>
      </c>
      <c r="T115" s="156" t="str">
        <f t="shared" si="17"/>
        <v/>
      </c>
      <c r="V115" s="153"/>
      <c r="W115" s="154"/>
      <c r="X115" s="157" t="str">
        <f t="shared" si="18"/>
        <v/>
      </c>
      <c r="Y115" s="157" t="str">
        <f t="shared" si="19"/>
        <v/>
      </c>
      <c r="AA115" s="153"/>
      <c r="AB115" s="154"/>
      <c r="AC115" s="158" t="str">
        <f t="shared" si="20"/>
        <v/>
      </c>
      <c r="AD115" s="158" t="str">
        <f t="shared" si="21"/>
        <v/>
      </c>
      <c r="AF115" s="153"/>
      <c r="AG115" s="154"/>
      <c r="AH115" s="159" t="str">
        <f t="shared" si="22"/>
        <v/>
      </c>
      <c r="AI115" s="159" t="str">
        <f t="shared" si="23"/>
        <v/>
      </c>
    </row>
    <row r="116" spans="2:35">
      <c r="B116" s="153"/>
      <c r="C116" s="154"/>
      <c r="D116" s="175" t="str">
        <f>IF(ISBLANK(C116),"",SUMIF($AN$5:$AN$1004,B116,$AO$5:$AO$1004))</f>
        <v/>
      </c>
      <c r="E116" s="175" t="str">
        <f t="shared" si="12"/>
        <v/>
      </c>
      <c r="G116" s="153"/>
      <c r="H116" s="154"/>
      <c r="I116" s="185" t="str">
        <f>IF(ISBLANK(H116),"",SUMIF($AN$5:$AN$1004,G116,$AO$5:$AO$1004))</f>
        <v/>
      </c>
      <c r="J116" s="185" t="str">
        <f t="shared" si="13"/>
        <v/>
      </c>
      <c r="L116" s="153"/>
      <c r="M116" s="154"/>
      <c r="N116" s="155" t="str">
        <f t="shared" si="14"/>
        <v/>
      </c>
      <c r="O116" s="155" t="str">
        <f t="shared" si="15"/>
        <v/>
      </c>
      <c r="Q116" s="153"/>
      <c r="R116" s="154"/>
      <c r="S116" s="156" t="str">
        <f t="shared" si="16"/>
        <v/>
      </c>
      <c r="T116" s="156" t="str">
        <f t="shared" si="17"/>
        <v/>
      </c>
      <c r="V116" s="153"/>
      <c r="W116" s="154"/>
      <c r="X116" s="157" t="str">
        <f t="shared" si="18"/>
        <v/>
      </c>
      <c r="Y116" s="157" t="str">
        <f t="shared" si="19"/>
        <v/>
      </c>
      <c r="AA116" s="153"/>
      <c r="AB116" s="154"/>
      <c r="AC116" s="158" t="str">
        <f t="shared" si="20"/>
        <v/>
      </c>
      <c r="AD116" s="158" t="str">
        <f t="shared" si="21"/>
        <v/>
      </c>
      <c r="AF116" s="153"/>
      <c r="AG116" s="154"/>
      <c r="AH116" s="159" t="str">
        <f t="shared" si="22"/>
        <v/>
      </c>
      <c r="AI116" s="159" t="str">
        <f t="shared" si="23"/>
        <v/>
      </c>
    </row>
    <row r="117" spans="2:35">
      <c r="B117" s="153"/>
      <c r="C117" s="154"/>
      <c r="D117" s="175" t="str">
        <f>IF(ISBLANK(C117),"",SUMIF($AN$5:$AN$1004,B117,$AO$5:$AO$1004))</f>
        <v/>
      </c>
      <c r="E117" s="175" t="str">
        <f t="shared" si="12"/>
        <v/>
      </c>
      <c r="G117" s="153"/>
      <c r="H117" s="154"/>
      <c r="I117" s="185" t="str">
        <f>IF(ISBLANK(H117),"",SUMIF($AN$5:$AN$1004,G117,$AO$5:$AO$1004))</f>
        <v/>
      </c>
      <c r="J117" s="185" t="str">
        <f t="shared" si="13"/>
        <v/>
      </c>
      <c r="L117" s="153"/>
      <c r="M117" s="154"/>
      <c r="N117" s="155" t="str">
        <f t="shared" si="14"/>
        <v/>
      </c>
      <c r="O117" s="155" t="str">
        <f t="shared" si="15"/>
        <v/>
      </c>
      <c r="Q117" s="153"/>
      <c r="R117" s="154"/>
      <c r="S117" s="156" t="str">
        <f t="shared" si="16"/>
        <v/>
      </c>
      <c r="T117" s="156" t="str">
        <f t="shared" si="17"/>
        <v/>
      </c>
      <c r="V117" s="153"/>
      <c r="W117" s="154"/>
      <c r="X117" s="157" t="str">
        <f t="shared" si="18"/>
        <v/>
      </c>
      <c r="Y117" s="157" t="str">
        <f t="shared" si="19"/>
        <v/>
      </c>
      <c r="AA117" s="153"/>
      <c r="AB117" s="154"/>
      <c r="AC117" s="158" t="str">
        <f t="shared" si="20"/>
        <v/>
      </c>
      <c r="AD117" s="158" t="str">
        <f t="shared" si="21"/>
        <v/>
      </c>
      <c r="AF117" s="153"/>
      <c r="AG117" s="154"/>
      <c r="AH117" s="159" t="str">
        <f t="shared" si="22"/>
        <v/>
      </c>
      <c r="AI117" s="159" t="str">
        <f t="shared" si="23"/>
        <v/>
      </c>
    </row>
    <row r="118" spans="2:35">
      <c r="B118" s="153"/>
      <c r="C118" s="154"/>
      <c r="D118" s="175" t="str">
        <f>IF(ISBLANK(C118),"",SUMIF($AN$5:$AN$1004,B118,$AO$5:$AO$1004))</f>
        <v/>
      </c>
      <c r="E118" s="175" t="str">
        <f t="shared" si="12"/>
        <v/>
      </c>
      <c r="G118" s="153"/>
      <c r="H118" s="154"/>
      <c r="I118" s="185" t="str">
        <f>IF(ISBLANK(H118),"",SUMIF($AN$5:$AN$1004,G118,$AO$5:$AO$1004))</f>
        <v/>
      </c>
      <c r="J118" s="185" t="str">
        <f t="shared" si="13"/>
        <v/>
      </c>
      <c r="L118" s="153"/>
      <c r="M118" s="154"/>
      <c r="N118" s="155" t="str">
        <f t="shared" si="14"/>
        <v/>
      </c>
      <c r="O118" s="155" t="str">
        <f t="shared" si="15"/>
        <v/>
      </c>
      <c r="Q118" s="153"/>
      <c r="R118" s="154"/>
      <c r="S118" s="156" t="str">
        <f t="shared" si="16"/>
        <v/>
      </c>
      <c r="T118" s="156" t="str">
        <f t="shared" si="17"/>
        <v/>
      </c>
      <c r="V118" s="153"/>
      <c r="W118" s="154"/>
      <c r="X118" s="157" t="str">
        <f t="shared" si="18"/>
        <v/>
      </c>
      <c r="Y118" s="157" t="str">
        <f t="shared" si="19"/>
        <v/>
      </c>
      <c r="AA118" s="153"/>
      <c r="AB118" s="154"/>
      <c r="AC118" s="158" t="str">
        <f t="shared" si="20"/>
        <v/>
      </c>
      <c r="AD118" s="158" t="str">
        <f t="shared" si="21"/>
        <v/>
      </c>
      <c r="AF118" s="153"/>
      <c r="AG118" s="154"/>
      <c r="AH118" s="159" t="str">
        <f t="shared" si="22"/>
        <v/>
      </c>
      <c r="AI118" s="159" t="str">
        <f t="shared" si="23"/>
        <v/>
      </c>
    </row>
    <row r="119" spans="2:35">
      <c r="B119" s="153"/>
      <c r="C119" s="154"/>
      <c r="D119" s="175" t="str">
        <f>IF(ISBLANK(C119),"",SUMIF($AN$5:$AN$1004,B119,$AO$5:$AO$1004))</f>
        <v/>
      </c>
      <c r="E119" s="175" t="str">
        <f t="shared" si="12"/>
        <v/>
      </c>
      <c r="G119" s="153"/>
      <c r="H119" s="154"/>
      <c r="I119" s="185" t="str">
        <f>IF(ISBLANK(H119),"",SUMIF($AN$5:$AN$1004,G119,$AO$5:$AO$1004))</f>
        <v/>
      </c>
      <c r="J119" s="185" t="str">
        <f t="shared" si="13"/>
        <v/>
      </c>
      <c r="L119" s="153"/>
      <c r="M119" s="154"/>
      <c r="N119" s="155" t="str">
        <f t="shared" si="14"/>
        <v/>
      </c>
      <c r="O119" s="155" t="str">
        <f t="shared" si="15"/>
        <v/>
      </c>
      <c r="Q119" s="153"/>
      <c r="R119" s="154"/>
      <c r="S119" s="156" t="str">
        <f t="shared" si="16"/>
        <v/>
      </c>
      <c r="T119" s="156" t="str">
        <f t="shared" si="17"/>
        <v/>
      </c>
      <c r="V119" s="153"/>
      <c r="W119" s="154"/>
      <c r="X119" s="157" t="str">
        <f t="shared" si="18"/>
        <v/>
      </c>
      <c r="Y119" s="157" t="str">
        <f t="shared" si="19"/>
        <v/>
      </c>
      <c r="AA119" s="153"/>
      <c r="AB119" s="154"/>
      <c r="AC119" s="158" t="str">
        <f t="shared" si="20"/>
        <v/>
      </c>
      <c r="AD119" s="158" t="str">
        <f t="shared" si="21"/>
        <v/>
      </c>
      <c r="AF119" s="153"/>
      <c r="AG119" s="154"/>
      <c r="AH119" s="159" t="str">
        <f t="shared" si="22"/>
        <v/>
      </c>
      <c r="AI119" s="159" t="str">
        <f t="shared" si="23"/>
        <v/>
      </c>
    </row>
    <row r="120" spans="2:35">
      <c r="B120" s="153"/>
      <c r="C120" s="154"/>
      <c r="D120" s="175" t="str">
        <f>IF(ISBLANK(C120),"",SUMIF($AN$5:$AN$1004,B120,$AO$5:$AO$1004))</f>
        <v/>
      </c>
      <c r="E120" s="175" t="str">
        <f t="shared" si="12"/>
        <v/>
      </c>
      <c r="G120" s="153"/>
      <c r="H120" s="154"/>
      <c r="I120" s="185" t="str">
        <f>IF(ISBLANK(H120),"",SUMIF($AN$5:$AN$1004,G120,$AO$5:$AO$1004))</f>
        <v/>
      </c>
      <c r="J120" s="185" t="str">
        <f t="shared" si="13"/>
        <v/>
      </c>
      <c r="L120" s="153"/>
      <c r="M120" s="154"/>
      <c r="N120" s="155" t="str">
        <f t="shared" si="14"/>
        <v/>
      </c>
      <c r="O120" s="155" t="str">
        <f t="shared" si="15"/>
        <v/>
      </c>
      <c r="Q120" s="153"/>
      <c r="R120" s="154"/>
      <c r="S120" s="156" t="str">
        <f t="shared" si="16"/>
        <v/>
      </c>
      <c r="T120" s="156" t="str">
        <f t="shared" si="17"/>
        <v/>
      </c>
      <c r="V120" s="153"/>
      <c r="W120" s="154"/>
      <c r="X120" s="157" t="str">
        <f t="shared" si="18"/>
        <v/>
      </c>
      <c r="Y120" s="157" t="str">
        <f t="shared" si="19"/>
        <v/>
      </c>
      <c r="AA120" s="153"/>
      <c r="AB120" s="154"/>
      <c r="AC120" s="158" t="str">
        <f t="shared" si="20"/>
        <v/>
      </c>
      <c r="AD120" s="158" t="str">
        <f t="shared" si="21"/>
        <v/>
      </c>
      <c r="AF120" s="153"/>
      <c r="AG120" s="154"/>
      <c r="AH120" s="159" t="str">
        <f t="shared" si="22"/>
        <v/>
      </c>
      <c r="AI120" s="159" t="str">
        <f t="shared" si="23"/>
        <v/>
      </c>
    </row>
    <row r="121" spans="2:35">
      <c r="B121" s="153"/>
      <c r="C121" s="154"/>
      <c r="D121" s="175" t="str">
        <f>IF(ISBLANK(C121),"",SUMIF($AN$5:$AN$1004,B121,$AO$5:$AO$1004))</f>
        <v/>
      </c>
      <c r="E121" s="175" t="str">
        <f t="shared" si="12"/>
        <v/>
      </c>
      <c r="G121" s="153"/>
      <c r="H121" s="154"/>
      <c r="I121" s="185" t="str">
        <f>IF(ISBLANK(H121),"",SUMIF($AN$5:$AN$1004,G121,$AO$5:$AO$1004))</f>
        <v/>
      </c>
      <c r="J121" s="185" t="str">
        <f t="shared" si="13"/>
        <v/>
      </c>
      <c r="L121" s="153"/>
      <c r="M121" s="154"/>
      <c r="N121" s="155" t="str">
        <f t="shared" si="14"/>
        <v/>
      </c>
      <c r="O121" s="155" t="str">
        <f t="shared" si="15"/>
        <v/>
      </c>
      <c r="Q121" s="153"/>
      <c r="R121" s="154"/>
      <c r="S121" s="156" t="str">
        <f t="shared" si="16"/>
        <v/>
      </c>
      <c r="T121" s="156" t="str">
        <f t="shared" si="17"/>
        <v/>
      </c>
      <c r="V121" s="153"/>
      <c r="W121" s="154"/>
      <c r="X121" s="157" t="str">
        <f t="shared" si="18"/>
        <v/>
      </c>
      <c r="Y121" s="157" t="str">
        <f t="shared" si="19"/>
        <v/>
      </c>
      <c r="AA121" s="153"/>
      <c r="AB121" s="154"/>
      <c r="AC121" s="158" t="str">
        <f t="shared" si="20"/>
        <v/>
      </c>
      <c r="AD121" s="158" t="str">
        <f t="shared" si="21"/>
        <v/>
      </c>
      <c r="AF121" s="153"/>
      <c r="AG121" s="154"/>
      <c r="AH121" s="159" t="str">
        <f t="shared" si="22"/>
        <v/>
      </c>
      <c r="AI121" s="159" t="str">
        <f t="shared" si="23"/>
        <v/>
      </c>
    </row>
    <row r="122" spans="2:35">
      <c r="B122" s="153"/>
      <c r="C122" s="154"/>
      <c r="D122" s="175" t="str">
        <f>IF(ISBLANK(C122),"",SUMIF($AN$5:$AN$1004,B122,$AO$5:$AO$1004))</f>
        <v/>
      </c>
      <c r="E122" s="175" t="str">
        <f t="shared" si="12"/>
        <v/>
      </c>
      <c r="G122" s="153"/>
      <c r="H122" s="154"/>
      <c r="I122" s="185" t="str">
        <f>IF(ISBLANK(H122),"",SUMIF($AN$5:$AN$1004,G122,$AO$5:$AO$1004))</f>
        <v/>
      </c>
      <c r="J122" s="185" t="str">
        <f t="shared" si="13"/>
        <v/>
      </c>
      <c r="L122" s="153"/>
      <c r="M122" s="154"/>
      <c r="N122" s="155" t="str">
        <f t="shared" si="14"/>
        <v/>
      </c>
      <c r="O122" s="155" t="str">
        <f t="shared" si="15"/>
        <v/>
      </c>
      <c r="Q122" s="153"/>
      <c r="R122" s="154"/>
      <c r="S122" s="156" t="str">
        <f t="shared" si="16"/>
        <v/>
      </c>
      <c r="T122" s="156" t="str">
        <f t="shared" si="17"/>
        <v/>
      </c>
      <c r="V122" s="153"/>
      <c r="W122" s="154"/>
      <c r="X122" s="157" t="str">
        <f t="shared" si="18"/>
        <v/>
      </c>
      <c r="Y122" s="157" t="str">
        <f t="shared" si="19"/>
        <v/>
      </c>
      <c r="AA122" s="153"/>
      <c r="AB122" s="154"/>
      <c r="AC122" s="158" t="str">
        <f t="shared" si="20"/>
        <v/>
      </c>
      <c r="AD122" s="158" t="str">
        <f t="shared" si="21"/>
        <v/>
      </c>
      <c r="AF122" s="153"/>
      <c r="AG122" s="154"/>
      <c r="AH122" s="159" t="str">
        <f t="shared" si="22"/>
        <v/>
      </c>
      <c r="AI122" s="159" t="str">
        <f t="shared" si="23"/>
        <v/>
      </c>
    </row>
    <row r="123" spans="2:35">
      <c r="B123" s="153"/>
      <c r="C123" s="154"/>
      <c r="D123" s="175" t="str">
        <f>IF(ISBLANK(C123),"",SUMIF($AN$5:$AN$1004,B123,$AO$5:$AO$1004))</f>
        <v/>
      </c>
      <c r="E123" s="175" t="str">
        <f t="shared" si="12"/>
        <v/>
      </c>
      <c r="G123" s="153"/>
      <c r="H123" s="154"/>
      <c r="I123" s="185" t="str">
        <f>IF(ISBLANK(H123),"",SUMIF($AN$5:$AN$1004,G123,$AO$5:$AO$1004))</f>
        <v/>
      </c>
      <c r="J123" s="185" t="str">
        <f t="shared" si="13"/>
        <v/>
      </c>
      <c r="L123" s="153"/>
      <c r="M123" s="154"/>
      <c r="N123" s="155" t="str">
        <f t="shared" si="14"/>
        <v/>
      </c>
      <c r="O123" s="155" t="str">
        <f t="shared" si="15"/>
        <v/>
      </c>
      <c r="Q123" s="153"/>
      <c r="R123" s="154"/>
      <c r="S123" s="156" t="str">
        <f t="shared" si="16"/>
        <v/>
      </c>
      <c r="T123" s="156" t="str">
        <f t="shared" si="17"/>
        <v/>
      </c>
      <c r="V123" s="153"/>
      <c r="W123" s="154"/>
      <c r="X123" s="157" t="str">
        <f t="shared" si="18"/>
        <v/>
      </c>
      <c r="Y123" s="157" t="str">
        <f t="shared" si="19"/>
        <v/>
      </c>
      <c r="AA123" s="153"/>
      <c r="AB123" s="154"/>
      <c r="AC123" s="158" t="str">
        <f t="shared" si="20"/>
        <v/>
      </c>
      <c r="AD123" s="158" t="str">
        <f t="shared" si="21"/>
        <v/>
      </c>
      <c r="AF123" s="153"/>
      <c r="AG123" s="154"/>
      <c r="AH123" s="159" t="str">
        <f t="shared" si="22"/>
        <v/>
      </c>
      <c r="AI123" s="159" t="str">
        <f t="shared" si="23"/>
        <v/>
      </c>
    </row>
    <row r="124" spans="2:35">
      <c r="B124" s="153"/>
      <c r="C124" s="154"/>
      <c r="D124" s="175" t="str">
        <f>IF(ISBLANK(C124),"",SUMIF($AN$5:$AN$1004,B124,$AO$5:$AO$1004))</f>
        <v/>
      </c>
      <c r="E124" s="175" t="str">
        <f t="shared" si="12"/>
        <v/>
      </c>
      <c r="G124" s="153"/>
      <c r="H124" s="154"/>
      <c r="I124" s="185" t="str">
        <f>IF(ISBLANK(H124),"",SUMIF($AN$5:$AN$1004,G124,$AO$5:$AO$1004))</f>
        <v/>
      </c>
      <c r="J124" s="185" t="str">
        <f t="shared" si="13"/>
        <v/>
      </c>
      <c r="L124" s="153"/>
      <c r="M124" s="154"/>
      <c r="N124" s="155" t="str">
        <f t="shared" si="14"/>
        <v/>
      </c>
      <c r="O124" s="155" t="str">
        <f t="shared" si="15"/>
        <v/>
      </c>
      <c r="Q124" s="153"/>
      <c r="R124" s="154"/>
      <c r="S124" s="156" t="str">
        <f t="shared" si="16"/>
        <v/>
      </c>
      <c r="T124" s="156" t="str">
        <f t="shared" si="17"/>
        <v/>
      </c>
      <c r="V124" s="153"/>
      <c r="W124" s="154"/>
      <c r="X124" s="157" t="str">
        <f t="shared" si="18"/>
        <v/>
      </c>
      <c r="Y124" s="157" t="str">
        <f t="shared" si="19"/>
        <v/>
      </c>
      <c r="AA124" s="153"/>
      <c r="AB124" s="154"/>
      <c r="AC124" s="158" t="str">
        <f t="shared" si="20"/>
        <v/>
      </c>
      <c r="AD124" s="158" t="str">
        <f t="shared" si="21"/>
        <v/>
      </c>
      <c r="AF124" s="153"/>
      <c r="AG124" s="154"/>
      <c r="AH124" s="159" t="str">
        <f t="shared" si="22"/>
        <v/>
      </c>
      <c r="AI124" s="159" t="str">
        <f t="shared" si="23"/>
        <v/>
      </c>
    </row>
    <row r="125" spans="2:35">
      <c r="B125" s="153"/>
      <c r="C125" s="154"/>
      <c r="D125" s="175" t="str">
        <f>IF(ISBLANK(C125),"",SUMIF($AN$5:$AN$1004,B125,$AO$5:$AO$1004))</f>
        <v/>
      </c>
      <c r="E125" s="175" t="str">
        <f t="shared" si="12"/>
        <v/>
      </c>
      <c r="G125" s="153"/>
      <c r="H125" s="154"/>
      <c r="I125" s="185" t="str">
        <f>IF(ISBLANK(H125),"",SUMIF($AN$5:$AN$1004,G125,$AO$5:$AO$1004))</f>
        <v/>
      </c>
      <c r="J125" s="185" t="str">
        <f t="shared" si="13"/>
        <v/>
      </c>
      <c r="L125" s="153"/>
      <c r="M125" s="154"/>
      <c r="N125" s="155" t="str">
        <f t="shared" si="14"/>
        <v/>
      </c>
      <c r="O125" s="155" t="str">
        <f t="shared" si="15"/>
        <v/>
      </c>
      <c r="Q125" s="153"/>
      <c r="R125" s="154"/>
      <c r="S125" s="156" t="str">
        <f t="shared" si="16"/>
        <v/>
      </c>
      <c r="T125" s="156" t="str">
        <f t="shared" si="17"/>
        <v/>
      </c>
      <c r="V125" s="153"/>
      <c r="W125" s="154"/>
      <c r="X125" s="157" t="str">
        <f t="shared" si="18"/>
        <v/>
      </c>
      <c r="Y125" s="157" t="str">
        <f t="shared" si="19"/>
        <v/>
      </c>
      <c r="AA125" s="153"/>
      <c r="AB125" s="154"/>
      <c r="AC125" s="158" t="str">
        <f t="shared" si="20"/>
        <v/>
      </c>
      <c r="AD125" s="158" t="str">
        <f t="shared" si="21"/>
        <v/>
      </c>
      <c r="AF125" s="153"/>
      <c r="AG125" s="154"/>
      <c r="AH125" s="159" t="str">
        <f t="shared" si="22"/>
        <v/>
      </c>
      <c r="AI125" s="159" t="str">
        <f t="shared" si="23"/>
        <v/>
      </c>
    </row>
    <row r="126" spans="2:35">
      <c r="B126" s="153"/>
      <c r="C126" s="154"/>
      <c r="D126" s="175" t="str">
        <f>IF(ISBLANK(C126),"",SUMIF($AN$5:$AN$1004,B126,$AO$5:$AO$1004))</f>
        <v/>
      </c>
      <c r="E126" s="175" t="str">
        <f t="shared" si="12"/>
        <v/>
      </c>
      <c r="G126" s="153"/>
      <c r="H126" s="154"/>
      <c r="I126" s="185" t="str">
        <f>IF(ISBLANK(H126),"",SUMIF($AN$5:$AN$1004,G126,$AO$5:$AO$1004))</f>
        <v/>
      </c>
      <c r="J126" s="185" t="str">
        <f t="shared" si="13"/>
        <v/>
      </c>
      <c r="L126" s="153"/>
      <c r="M126" s="154"/>
      <c r="N126" s="155" t="str">
        <f t="shared" si="14"/>
        <v/>
      </c>
      <c r="O126" s="155" t="str">
        <f t="shared" si="15"/>
        <v/>
      </c>
      <c r="Q126" s="153"/>
      <c r="R126" s="154"/>
      <c r="S126" s="156" t="str">
        <f t="shared" si="16"/>
        <v/>
      </c>
      <c r="T126" s="156" t="str">
        <f t="shared" si="17"/>
        <v/>
      </c>
      <c r="V126" s="153"/>
      <c r="W126" s="154"/>
      <c r="X126" s="157" t="str">
        <f t="shared" si="18"/>
        <v/>
      </c>
      <c r="Y126" s="157" t="str">
        <f t="shared" si="19"/>
        <v/>
      </c>
      <c r="AA126" s="153"/>
      <c r="AB126" s="154"/>
      <c r="AC126" s="158" t="str">
        <f t="shared" si="20"/>
        <v/>
      </c>
      <c r="AD126" s="158" t="str">
        <f t="shared" si="21"/>
        <v/>
      </c>
      <c r="AF126" s="153"/>
      <c r="AG126" s="154"/>
      <c r="AH126" s="159" t="str">
        <f t="shared" si="22"/>
        <v/>
      </c>
      <c r="AI126" s="159" t="str">
        <f t="shared" si="23"/>
        <v/>
      </c>
    </row>
    <row r="127" spans="2:35">
      <c r="B127" s="153"/>
      <c r="C127" s="154"/>
      <c r="D127" s="175" t="str">
        <f>IF(ISBLANK(C127),"",SUMIF($AN$5:$AN$1004,B127,$AO$5:$AO$1004))</f>
        <v/>
      </c>
      <c r="E127" s="175" t="str">
        <f t="shared" si="12"/>
        <v/>
      </c>
      <c r="G127" s="153"/>
      <c r="H127" s="154"/>
      <c r="I127" s="185" t="str">
        <f>IF(ISBLANK(H127),"",SUMIF($AN$5:$AN$1004,G127,$AO$5:$AO$1004))</f>
        <v/>
      </c>
      <c r="J127" s="185" t="str">
        <f t="shared" si="13"/>
        <v/>
      </c>
      <c r="L127" s="153"/>
      <c r="M127" s="154"/>
      <c r="N127" s="155" t="str">
        <f t="shared" si="14"/>
        <v/>
      </c>
      <c r="O127" s="155" t="str">
        <f t="shared" si="15"/>
        <v/>
      </c>
      <c r="Q127" s="153"/>
      <c r="R127" s="154"/>
      <c r="S127" s="156" t="str">
        <f t="shared" si="16"/>
        <v/>
      </c>
      <c r="T127" s="156" t="str">
        <f t="shared" si="17"/>
        <v/>
      </c>
      <c r="V127" s="153"/>
      <c r="W127" s="154"/>
      <c r="X127" s="157" t="str">
        <f t="shared" si="18"/>
        <v/>
      </c>
      <c r="Y127" s="157" t="str">
        <f t="shared" si="19"/>
        <v/>
      </c>
      <c r="AA127" s="153"/>
      <c r="AB127" s="154"/>
      <c r="AC127" s="158" t="str">
        <f t="shared" si="20"/>
        <v/>
      </c>
      <c r="AD127" s="158" t="str">
        <f t="shared" si="21"/>
        <v/>
      </c>
      <c r="AF127" s="153"/>
      <c r="AG127" s="154"/>
      <c r="AH127" s="159" t="str">
        <f t="shared" si="22"/>
        <v/>
      </c>
      <c r="AI127" s="159" t="str">
        <f t="shared" si="23"/>
        <v/>
      </c>
    </row>
    <row r="128" spans="2:35">
      <c r="B128" s="153"/>
      <c r="C128" s="154"/>
      <c r="D128" s="175" t="str">
        <f>IF(ISBLANK(C128),"",SUMIF($AN$5:$AN$1004,B128,$AO$5:$AO$1004))</f>
        <v/>
      </c>
      <c r="E128" s="175" t="str">
        <f t="shared" si="12"/>
        <v/>
      </c>
      <c r="G128" s="153"/>
      <c r="H128" s="154"/>
      <c r="I128" s="185" t="str">
        <f>IF(ISBLANK(H128),"",SUMIF($AN$5:$AN$1004,G128,$AO$5:$AO$1004))</f>
        <v/>
      </c>
      <c r="J128" s="185" t="str">
        <f t="shared" si="13"/>
        <v/>
      </c>
      <c r="L128" s="153"/>
      <c r="M128" s="154"/>
      <c r="N128" s="155" t="str">
        <f t="shared" si="14"/>
        <v/>
      </c>
      <c r="O128" s="155" t="str">
        <f t="shared" si="15"/>
        <v/>
      </c>
      <c r="Q128" s="153"/>
      <c r="R128" s="154"/>
      <c r="S128" s="156" t="str">
        <f t="shared" si="16"/>
        <v/>
      </c>
      <c r="T128" s="156" t="str">
        <f t="shared" si="17"/>
        <v/>
      </c>
      <c r="V128" s="153"/>
      <c r="W128" s="154"/>
      <c r="X128" s="157" t="str">
        <f t="shared" si="18"/>
        <v/>
      </c>
      <c r="Y128" s="157" t="str">
        <f t="shared" si="19"/>
        <v/>
      </c>
      <c r="AA128" s="153"/>
      <c r="AB128" s="154"/>
      <c r="AC128" s="158" t="str">
        <f t="shared" si="20"/>
        <v/>
      </c>
      <c r="AD128" s="158" t="str">
        <f t="shared" si="21"/>
        <v/>
      </c>
      <c r="AF128" s="153"/>
      <c r="AG128" s="154"/>
      <c r="AH128" s="159" t="str">
        <f t="shared" si="22"/>
        <v/>
      </c>
      <c r="AI128" s="159" t="str">
        <f t="shared" si="23"/>
        <v/>
      </c>
    </row>
    <row r="129" spans="1:36">
      <c r="B129" s="160"/>
      <c r="C129" s="161"/>
      <c r="D129" s="176" t="str">
        <f>IF(ISBLANK(C129),"",SUMIF($AN$5:$AN$1004,B129,$AO$5:$AO$1004))</f>
        <v/>
      </c>
      <c r="E129" s="176" t="str">
        <f t="shared" si="12"/>
        <v/>
      </c>
      <c r="G129" s="160"/>
      <c r="H129" s="161"/>
      <c r="I129" s="186" t="str">
        <f>IF(ISBLANK(H129),"",SUMIF($AN$5:$AN$1004,G129,$AO$5:$AO$1004))</f>
        <v/>
      </c>
      <c r="J129" s="186" t="str">
        <f t="shared" si="13"/>
        <v/>
      </c>
      <c r="L129" s="160"/>
      <c r="M129" s="161"/>
      <c r="N129" s="162" t="str">
        <f t="shared" si="14"/>
        <v/>
      </c>
      <c r="O129" s="162" t="str">
        <f t="shared" si="15"/>
        <v/>
      </c>
      <c r="Q129" s="160"/>
      <c r="R129" s="161"/>
      <c r="S129" s="163" t="str">
        <f t="shared" si="16"/>
        <v/>
      </c>
      <c r="T129" s="163" t="str">
        <f t="shared" si="17"/>
        <v/>
      </c>
      <c r="V129" s="160"/>
      <c r="W129" s="161"/>
      <c r="X129" s="164" t="str">
        <f t="shared" si="18"/>
        <v/>
      </c>
      <c r="Y129" s="164" t="str">
        <f t="shared" si="19"/>
        <v/>
      </c>
      <c r="AA129" s="160"/>
      <c r="AB129" s="161"/>
      <c r="AC129" s="165" t="str">
        <f t="shared" si="20"/>
        <v/>
      </c>
      <c r="AD129" s="165" t="str">
        <f t="shared" si="21"/>
        <v/>
      </c>
      <c r="AF129" s="160"/>
      <c r="AG129" s="161"/>
      <c r="AH129" s="166" t="str">
        <f t="shared" si="22"/>
        <v/>
      </c>
      <c r="AI129" s="166" t="str">
        <f t="shared" si="23"/>
        <v/>
      </c>
    </row>
    <row r="130" spans="1:36">
      <c r="A130" s="167"/>
      <c r="B130" s="179" t="s">
        <v>127</v>
      </c>
      <c r="C130" s="180">
        <f>SUM(C30:C129)</f>
        <v>0</v>
      </c>
      <c r="D130" s="180">
        <f>SUM(D30:D129)</f>
        <v>0</v>
      </c>
      <c r="E130" s="180">
        <f>SUM(E30:E129)</f>
        <v>0</v>
      </c>
      <c r="F130" s="168"/>
      <c r="G130" s="183" t="s">
        <v>127</v>
      </c>
      <c r="H130" s="183">
        <f>SUM(H30:H129)</f>
        <v>0</v>
      </c>
      <c r="I130" s="183">
        <f>SUM(I30:I129)</f>
        <v>0</v>
      </c>
      <c r="J130" s="183">
        <f t="shared" si="13"/>
        <v>0</v>
      </c>
      <c r="K130" s="168"/>
      <c r="L130" s="169" t="s">
        <v>127</v>
      </c>
      <c r="M130" s="169">
        <f>SUM(M30:M129)</f>
        <v>0</v>
      </c>
      <c r="N130" s="169">
        <f>SUM(N30:N129)</f>
        <v>0</v>
      </c>
      <c r="O130" s="169">
        <f t="shared" si="15"/>
        <v>0</v>
      </c>
      <c r="P130" s="168"/>
      <c r="Q130" s="170" t="s">
        <v>127</v>
      </c>
      <c r="R130" s="170">
        <f>SUM(R30:R129)</f>
        <v>0</v>
      </c>
      <c r="S130" s="170">
        <f>SUM(S30:S129)</f>
        <v>0</v>
      </c>
      <c r="T130" s="170">
        <f t="shared" si="17"/>
        <v>0</v>
      </c>
      <c r="U130" s="168"/>
      <c r="V130" s="171" t="s">
        <v>127</v>
      </c>
      <c r="W130" s="171">
        <f>SUM(W30:W129)</f>
        <v>0</v>
      </c>
      <c r="X130" s="171">
        <f>SUM(X30:X129)</f>
        <v>0</v>
      </c>
      <c r="Y130" s="171">
        <f>SUM(Y30:Y129)</f>
        <v>0</v>
      </c>
      <c r="Z130" s="168"/>
      <c r="AA130" s="172" t="s">
        <v>127</v>
      </c>
      <c r="AB130" s="172">
        <f>SUM(AB30:AB129)</f>
        <v>0</v>
      </c>
      <c r="AC130" s="172">
        <f>SUM(AC30:AC129)</f>
        <v>0</v>
      </c>
      <c r="AD130" s="172">
        <f>SUM(AD30:AD129)</f>
        <v>0</v>
      </c>
      <c r="AE130" s="168"/>
      <c r="AF130" s="173" t="s">
        <v>127</v>
      </c>
      <c r="AG130" s="173">
        <f>SUM(AG30:AG129)</f>
        <v>0</v>
      </c>
      <c r="AH130" s="173">
        <f>SUM(AH30:AH129)</f>
        <v>0</v>
      </c>
      <c r="AI130" s="173">
        <f>SUM(AI30:AI129)</f>
        <v>0</v>
      </c>
      <c r="AJ130" s="167"/>
    </row>
  </sheetData>
  <protectedRanges>
    <protectedRange sqref="B7:E8" name="Range1"/>
    <protectedRange sqref="B30:C129 L30:M129 G30:H129" name="Range2"/>
    <protectedRange sqref="Q30:R129 V31:W129 AA30:AB129 AF30:AG129" name="Range3"/>
    <protectedRange sqref="V30:W129" name="Range5"/>
  </protectedRanges>
  <mergeCells count="107">
    <mergeCell ref="G20:G21"/>
    <mergeCell ref="G23:G24"/>
    <mergeCell ref="H25:J25"/>
    <mergeCell ref="G28:G29"/>
    <mergeCell ref="H28:H29"/>
    <mergeCell ref="I28:I29"/>
    <mergeCell ref="J28:J29"/>
    <mergeCell ref="AG28:AG29"/>
    <mergeCell ref="AH28:AH29"/>
    <mergeCell ref="AI28:AI29"/>
    <mergeCell ref="G2:J2"/>
    <mergeCell ref="G3:H7"/>
    <mergeCell ref="I3:J7"/>
    <mergeCell ref="G15:J16"/>
    <mergeCell ref="G17:G18"/>
    <mergeCell ref="Y28:Y29"/>
    <mergeCell ref="AA28:AA29"/>
    <mergeCell ref="AB28:AB29"/>
    <mergeCell ref="AC28:AC29"/>
    <mergeCell ref="AD28:AD29"/>
    <mergeCell ref="AF28:AF29"/>
    <mergeCell ref="R28:R29"/>
    <mergeCell ref="S28:S29"/>
    <mergeCell ref="T28:T29"/>
    <mergeCell ref="V28:V29"/>
    <mergeCell ref="W28:W29"/>
    <mergeCell ref="X28:X29"/>
    <mergeCell ref="AG25:AI25"/>
    <mergeCell ref="B28:B29"/>
    <mergeCell ref="C28:C29"/>
    <mergeCell ref="D28:D29"/>
    <mergeCell ref="E28:E29"/>
    <mergeCell ref="L28:L29"/>
    <mergeCell ref="M28:M29"/>
    <mergeCell ref="N28:N29"/>
    <mergeCell ref="O28:O29"/>
    <mergeCell ref="Q28:Q29"/>
    <mergeCell ref="Q23:Q24"/>
    <mergeCell ref="V23:V24"/>
    <mergeCell ref="AA23:AA24"/>
    <mergeCell ref="AF23:AF24"/>
    <mergeCell ref="C25:E25"/>
    <mergeCell ref="M25:O25"/>
    <mergeCell ref="R25:T25"/>
    <mergeCell ref="W25:Y25"/>
    <mergeCell ref="AB25:AD25"/>
    <mergeCell ref="H18:J24"/>
    <mergeCell ref="AB18:AD24"/>
    <mergeCell ref="AG18:AI24"/>
    <mergeCell ref="B20:B21"/>
    <mergeCell ref="L20:L21"/>
    <mergeCell ref="Q20:Q21"/>
    <mergeCell ref="V20:V21"/>
    <mergeCell ref="AA20:AA21"/>
    <mergeCell ref="AF20:AF21"/>
    <mergeCell ref="B23:B24"/>
    <mergeCell ref="L23:L24"/>
    <mergeCell ref="B17:B18"/>
    <mergeCell ref="L17:L18"/>
    <mergeCell ref="Q17:Q18"/>
    <mergeCell ref="V17:V18"/>
    <mergeCell ref="AA17:AA18"/>
    <mergeCell ref="AF17:AF18"/>
    <mergeCell ref="C18:E24"/>
    <mergeCell ref="M18:O24"/>
    <mergeCell ref="R18:T24"/>
    <mergeCell ref="W18:Y24"/>
    <mergeCell ref="B15:E16"/>
    <mergeCell ref="L15:O16"/>
    <mergeCell ref="Q15:T16"/>
    <mergeCell ref="V15:Y16"/>
    <mergeCell ref="AA15:AD16"/>
    <mergeCell ref="AF15:AI16"/>
    <mergeCell ref="T8:T10"/>
    <mergeCell ref="B9:E10"/>
    <mergeCell ref="Q11:Q13"/>
    <mergeCell ref="R11:R13"/>
    <mergeCell ref="S11:S13"/>
    <mergeCell ref="T11:T13"/>
    <mergeCell ref="B12:E13"/>
    <mergeCell ref="G12:G13"/>
    <mergeCell ref="C8:E8"/>
    <mergeCell ref="L8:M12"/>
    <mergeCell ref="N8:O12"/>
    <mergeCell ref="Q8:Q10"/>
    <mergeCell ref="R8:R10"/>
    <mergeCell ref="S8:S10"/>
    <mergeCell ref="Q4:Q5"/>
    <mergeCell ref="R4:R5"/>
    <mergeCell ref="S4:S5"/>
    <mergeCell ref="T4:T5"/>
    <mergeCell ref="B6:E6"/>
    <mergeCell ref="Q6:Q7"/>
    <mergeCell ref="R6:R7"/>
    <mergeCell ref="S6:S7"/>
    <mergeCell ref="T6:T7"/>
    <mergeCell ref="C7:E7"/>
    <mergeCell ref="B2:E4"/>
    <mergeCell ref="L2:O2"/>
    <mergeCell ref="Q2:T2"/>
    <mergeCell ref="V2:Y2"/>
    <mergeCell ref="AA2:AI2"/>
    <mergeCell ref="L3:M7"/>
    <mergeCell ref="N3:O7"/>
    <mergeCell ref="V3:Y13"/>
    <mergeCell ref="AA3:AD3"/>
    <mergeCell ref="AF3:AI3"/>
  </mergeCells>
  <conditionalFormatting sqref="B23:B25 V23:V25 AA23:AA25 AF23:AF25">
    <cfRule type="expression" dxfId="20" priority="13">
      <formula>B$25="ON BUDGET ✅"</formula>
    </cfRule>
    <cfRule type="expression" dxfId="19" priority="14">
      <formula>B$25="OVER BUDGET"</formula>
    </cfRule>
    <cfRule type="expression" dxfId="18" priority="15">
      <formula>B$25="UNDER BUDGET"</formula>
    </cfRule>
  </conditionalFormatting>
  <conditionalFormatting sqref="E30:E130 Y30:Y130 AD30:AD130 AI30:AI130">
    <cfRule type="cellIs" dxfId="17" priority="8" operator="lessThan">
      <formula>0</formula>
    </cfRule>
    <cfRule type="cellIs" dxfId="16" priority="9" operator="greaterThanOrEqual">
      <formula>0</formula>
    </cfRule>
  </conditionalFormatting>
  <conditionalFormatting sqref="L23:L25 Q23:Q25">
    <cfRule type="expression" dxfId="15" priority="10">
      <formula>L$25="OVER BUDGET"</formula>
    </cfRule>
    <cfRule type="expression" dxfId="14" priority="11">
      <formula>L$25="UNDER BUDGET"</formula>
    </cfRule>
    <cfRule type="expression" dxfId="13" priority="12">
      <formula>L$25="ON BUDGET ✅"</formula>
    </cfRule>
  </conditionalFormatting>
  <conditionalFormatting sqref="O30:O130 T30:T130">
    <cfRule type="cellIs" dxfId="12" priority="6" operator="greaterThan">
      <formula>0</formula>
    </cfRule>
    <cfRule type="cellIs" dxfId="11" priority="7" operator="lessThanOrEqual">
      <formula>0</formula>
    </cfRule>
  </conditionalFormatting>
  <conditionalFormatting sqref="G23:G25">
    <cfRule type="expression" dxfId="10" priority="3">
      <formula>G$25="OVER BUDGET"</formula>
    </cfRule>
    <cfRule type="expression" dxfId="9" priority="4">
      <formula>G$25="UNDER BUDGET"</formula>
    </cfRule>
    <cfRule type="expression" dxfId="8" priority="5">
      <formula>G$25="ON BUDGET ✅"</formula>
    </cfRule>
  </conditionalFormatting>
  <conditionalFormatting sqref="J30:J130">
    <cfRule type="cellIs" dxfId="7" priority="1" operator="greaterThan">
      <formula>0</formula>
    </cfRule>
    <cfRule type="cellIs" dxfId="6" priority="2" operator="lessThanOrEqual">
      <formula>0</formula>
    </cfRule>
  </conditionalFormatting>
  <dataValidations count="1">
    <dataValidation type="date" allowBlank="1" showInputMessage="1" showErrorMessage="1" sqref="C7:E8" xr:uid="{2586FCE1-7C64-410A-A0E7-B97989C7A5C8}">
      <formula1>36526</formula1>
      <formula2>73051</formula2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K8" sqref="K8"/>
    </sheetView>
  </sheetViews>
  <sheetFormatPr defaultColWidth="12.6328125" defaultRowHeight="15" customHeight="1"/>
  <cols>
    <col min="1" max="1" width="4.90625" customWidth="1"/>
    <col min="2" max="3" width="34.7265625" customWidth="1"/>
    <col min="4" max="4" width="18.26953125" customWidth="1"/>
    <col min="5" max="5" width="1.6328125" customWidth="1"/>
    <col min="6" max="10" width="8.6328125" customWidth="1"/>
    <col min="11" max="11" width="9.36328125" customWidth="1"/>
    <col min="12" max="26" width="8.6328125" customWidth="1"/>
  </cols>
  <sheetData>
    <row r="1" spans="1:26" ht="14.5">
      <c r="C1" s="1"/>
      <c r="D1" s="2"/>
    </row>
    <row r="2" spans="1:26" ht="14.5">
      <c r="B2" s="3" t="s">
        <v>0</v>
      </c>
      <c r="C2" s="4" t="s">
        <v>1</v>
      </c>
      <c r="D2" s="2"/>
    </row>
    <row r="3" spans="1:26" ht="14.5">
      <c r="B3" s="5"/>
      <c r="D3" s="2"/>
    </row>
    <row r="4" spans="1:26" ht="14.5">
      <c r="B4" s="6">
        <f>SUMIFS(D17:D90, C17:C90, "&lt;=14")</f>
        <v>922.03</v>
      </c>
      <c r="C4" s="7" t="s">
        <v>2</v>
      </c>
      <c r="D4" s="2"/>
    </row>
    <row r="5" spans="1:26" ht="14.5">
      <c r="B5" s="6">
        <f>SUMIFS(D17:D90, C17:C90, "&gt;=15")</f>
        <v>4247.1899999999996</v>
      </c>
      <c r="C5" s="7" t="s">
        <v>3</v>
      </c>
      <c r="D5" s="2"/>
    </row>
    <row r="6" spans="1:26" ht="14.5">
      <c r="C6" s="1"/>
    </row>
    <row r="7" spans="1:26" ht="21">
      <c r="B7" s="8" t="s">
        <v>4</v>
      </c>
      <c r="C7" s="9" t="s">
        <v>5</v>
      </c>
      <c r="D7" s="8" t="s">
        <v>6</v>
      </c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</row>
    <row r="8" spans="1:26" ht="14.5">
      <c r="B8" s="10" t="s">
        <v>9</v>
      </c>
      <c r="C8" s="1">
        <v>15</v>
      </c>
      <c r="D8" s="2">
        <v>3500.73</v>
      </c>
      <c r="F8" s="10" t="b">
        <f t="shared" ref="F8:F90" si="0">NOT(ISBLANK(C8))</f>
        <v>1</v>
      </c>
      <c r="G8" s="10" t="e">
        <f t="array" aca="1" ref="G8" ca="1">_xlws.FILTER($B$8:$D$90, $F$8:$F$90)</f>
        <v>#NAME?</v>
      </c>
      <c r="J8" s="10">
        <f t="shared" ref="J8:J90" ca="1" si="1">IF(ISERROR(MATCH(G8, $B$8:$B$12, 0)), -1*I8,I8)</f>
        <v>0</v>
      </c>
      <c r="K8" s="11">
        <f>DATE(2025, Cashflow!$D$2, $H8)</f>
        <v>45930</v>
      </c>
    </row>
    <row r="9" spans="1:26" ht="14.5">
      <c r="B9" s="10" t="s">
        <v>9</v>
      </c>
      <c r="C9" s="1">
        <v>30</v>
      </c>
      <c r="D9" s="2">
        <v>3500.73</v>
      </c>
      <c r="F9" s="10" t="b">
        <f t="shared" si="0"/>
        <v>1</v>
      </c>
      <c r="J9" s="10">
        <f t="shared" si="1"/>
        <v>0</v>
      </c>
      <c r="K9" s="11">
        <f>DATE(2025, Cashflow!$D$2, $H9)</f>
        <v>45930</v>
      </c>
    </row>
    <row r="10" spans="1:26" ht="14.5">
      <c r="B10" s="10" t="s">
        <v>10</v>
      </c>
      <c r="C10" s="1">
        <v>25</v>
      </c>
      <c r="D10" s="12"/>
      <c r="F10" s="10" t="b">
        <f t="shared" si="0"/>
        <v>1</v>
      </c>
      <c r="J10" s="10">
        <f t="shared" si="1"/>
        <v>0</v>
      </c>
      <c r="K10" s="11">
        <f>DATE(2025, Cashflow!$D$2, $H10)</f>
        <v>45930</v>
      </c>
    </row>
    <row r="11" spans="1:26" ht="14.5">
      <c r="B11" s="10" t="s">
        <v>11</v>
      </c>
      <c r="C11" s="1">
        <v>31</v>
      </c>
      <c r="D11" s="12"/>
      <c r="F11" s="10" t="b">
        <f t="shared" si="0"/>
        <v>1</v>
      </c>
      <c r="J11" s="10">
        <f t="shared" si="1"/>
        <v>0</v>
      </c>
      <c r="K11" s="11">
        <f>DATE(2025, Cashflow!$D$2, $H11)</f>
        <v>45930</v>
      </c>
    </row>
    <row r="12" spans="1:26" ht="14.5">
      <c r="B12" s="10" t="s">
        <v>12</v>
      </c>
      <c r="C12" s="1"/>
      <c r="D12" s="2">
        <v>0</v>
      </c>
      <c r="F12" s="10" t="b">
        <f t="shared" si="0"/>
        <v>0</v>
      </c>
      <c r="J12" s="10">
        <f t="shared" si="1"/>
        <v>0</v>
      </c>
      <c r="K12" s="11">
        <f>DATE(2025, Cashflow!$D$2, $H12)</f>
        <v>45930</v>
      </c>
    </row>
    <row r="13" spans="1:26" ht="8.25" customHeight="1">
      <c r="B13" s="13"/>
      <c r="C13" s="14"/>
      <c r="D13" s="15"/>
      <c r="F13" s="10" t="b">
        <f t="shared" si="0"/>
        <v>0</v>
      </c>
      <c r="J13" s="10">
        <f t="shared" si="1"/>
        <v>0</v>
      </c>
      <c r="K13" s="11">
        <f>DATE(2025, Cashflow!$D$2, $H13)</f>
        <v>45930</v>
      </c>
    </row>
    <row r="14" spans="1:26" ht="23.5">
      <c r="A14" s="16"/>
      <c r="B14" s="17" t="s">
        <v>13</v>
      </c>
      <c r="C14" s="18"/>
      <c r="D14" s="19">
        <f>SUM(D8:D12)</f>
        <v>7001.46</v>
      </c>
      <c r="E14" s="16"/>
      <c r="F14" s="10" t="b">
        <f t="shared" si="0"/>
        <v>0</v>
      </c>
      <c r="J14" s="10">
        <f t="shared" si="1"/>
        <v>0</v>
      </c>
      <c r="K14" s="11">
        <f>DATE(2025, Cashflow!$D$2, $H14)</f>
        <v>45930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8.25" customHeight="1">
      <c r="B15" s="13"/>
      <c r="C15" s="14"/>
      <c r="D15" s="15"/>
      <c r="F15" s="10" t="b">
        <f t="shared" si="0"/>
        <v>0</v>
      </c>
      <c r="J15" s="10">
        <f t="shared" si="1"/>
        <v>0</v>
      </c>
      <c r="K15" s="11">
        <f>DATE(2025, Cashflow!$D$2, $H15)</f>
        <v>45930</v>
      </c>
    </row>
    <row r="16" spans="1:26" ht="18.5">
      <c r="B16" s="105" t="s">
        <v>14</v>
      </c>
      <c r="C16" s="106"/>
      <c r="D16" s="106"/>
      <c r="F16" s="10" t="b">
        <f t="shared" si="0"/>
        <v>0</v>
      </c>
      <c r="J16" s="10">
        <f t="shared" si="1"/>
        <v>0</v>
      </c>
      <c r="K16" s="11">
        <f>DATE(2025, Cashflow!$D$2, $H16)</f>
        <v>45930</v>
      </c>
    </row>
    <row r="17" spans="1:11" ht="14.5">
      <c r="A17" s="20" t="b">
        <v>0</v>
      </c>
      <c r="B17" s="10" t="s">
        <v>15</v>
      </c>
      <c r="C17" s="1">
        <v>9</v>
      </c>
      <c r="D17" s="2">
        <v>35</v>
      </c>
      <c r="F17" s="10" t="b">
        <f t="shared" si="0"/>
        <v>1</v>
      </c>
      <c r="J17" s="10">
        <f t="shared" si="1"/>
        <v>0</v>
      </c>
      <c r="K17" s="11">
        <f>DATE(2025, Cashflow!$D$2, $H17)</f>
        <v>45930</v>
      </c>
    </row>
    <row r="18" spans="1:11" ht="14.5">
      <c r="A18" s="20" t="b">
        <v>0</v>
      </c>
      <c r="B18" s="10" t="s">
        <v>16</v>
      </c>
      <c r="C18" s="1">
        <v>4</v>
      </c>
      <c r="D18" s="2">
        <v>25</v>
      </c>
      <c r="F18" s="10" t="b">
        <f t="shared" si="0"/>
        <v>1</v>
      </c>
      <c r="J18" s="10">
        <f t="shared" si="1"/>
        <v>0</v>
      </c>
      <c r="K18" s="11">
        <f>DATE(2025, Cashflow!$D$2, $H18)</f>
        <v>45930</v>
      </c>
    </row>
    <row r="19" spans="1:11" ht="14.5">
      <c r="A19" s="20" t="b">
        <v>0</v>
      </c>
      <c r="B19" s="10" t="s">
        <v>17</v>
      </c>
      <c r="C19" s="1">
        <v>15</v>
      </c>
      <c r="D19" s="2">
        <v>440</v>
      </c>
      <c r="F19" s="10" t="b">
        <f t="shared" si="0"/>
        <v>1</v>
      </c>
      <c r="J19" s="10">
        <f t="shared" si="1"/>
        <v>0</v>
      </c>
      <c r="K19" s="11">
        <f>DATE(2025, Cashflow!$D$2, $H19)</f>
        <v>45930</v>
      </c>
    </row>
    <row r="20" spans="1:11" ht="14.5">
      <c r="A20" s="20" t="b">
        <v>0</v>
      </c>
      <c r="B20" s="10" t="s">
        <v>18</v>
      </c>
      <c r="C20" s="1">
        <v>17</v>
      </c>
      <c r="D20" s="2">
        <v>125</v>
      </c>
      <c r="F20" s="10" t="b">
        <f t="shared" si="0"/>
        <v>1</v>
      </c>
      <c r="J20" s="10">
        <f t="shared" si="1"/>
        <v>0</v>
      </c>
      <c r="K20" s="11">
        <f>DATE(2025, Cashflow!$D$2, $H20)</f>
        <v>45930</v>
      </c>
    </row>
    <row r="21" spans="1:11" ht="15.75" customHeight="1">
      <c r="A21" s="20" t="b">
        <v>0</v>
      </c>
      <c r="B21" s="10" t="s">
        <v>19</v>
      </c>
      <c r="C21" s="1">
        <v>15</v>
      </c>
      <c r="D21" s="2">
        <v>120</v>
      </c>
      <c r="F21" s="10" t="b">
        <f t="shared" si="0"/>
        <v>1</v>
      </c>
      <c r="J21" s="10">
        <f t="shared" si="1"/>
        <v>0</v>
      </c>
      <c r="K21" s="11">
        <f>DATE(2025, Cashflow!$D$2, $H21)</f>
        <v>45930</v>
      </c>
    </row>
    <row r="22" spans="1:11" ht="15.75" customHeight="1">
      <c r="A22" s="20" t="b">
        <v>0</v>
      </c>
      <c r="B22" s="10" t="s">
        <v>20</v>
      </c>
      <c r="C22" s="1">
        <v>15</v>
      </c>
      <c r="D22" s="2">
        <v>70</v>
      </c>
      <c r="F22" s="10" t="b">
        <f t="shared" si="0"/>
        <v>1</v>
      </c>
      <c r="J22" s="10">
        <f t="shared" si="1"/>
        <v>0</v>
      </c>
      <c r="K22" s="11">
        <f>DATE(2025, Cashflow!$D$2, $H22)</f>
        <v>45930</v>
      </c>
    </row>
    <row r="23" spans="1:11" ht="8.25" customHeight="1">
      <c r="B23" s="13"/>
      <c r="C23" s="14"/>
      <c r="D23" s="15"/>
      <c r="F23" s="10" t="b">
        <f t="shared" si="0"/>
        <v>0</v>
      </c>
      <c r="J23" s="10">
        <f t="shared" si="1"/>
        <v>0</v>
      </c>
      <c r="K23" s="11">
        <f>DATE(2025, Cashflow!$D$2, $H23)</f>
        <v>45930</v>
      </c>
    </row>
    <row r="24" spans="1:11" ht="15.75" customHeight="1">
      <c r="B24" s="105" t="s">
        <v>21</v>
      </c>
      <c r="C24" s="106"/>
      <c r="D24" s="106"/>
      <c r="F24" s="10" t="b">
        <f t="shared" si="0"/>
        <v>0</v>
      </c>
      <c r="J24" s="10">
        <f t="shared" si="1"/>
        <v>0</v>
      </c>
      <c r="K24" s="11">
        <f>DATE(2025, Cashflow!$D$2, $H24)</f>
        <v>45930</v>
      </c>
    </row>
    <row r="25" spans="1:11" ht="15.75" customHeight="1">
      <c r="A25" s="20" t="b">
        <v>0</v>
      </c>
      <c r="B25" s="10" t="s">
        <v>22</v>
      </c>
      <c r="C25" s="1">
        <v>1</v>
      </c>
      <c r="D25" s="12">
        <v>0</v>
      </c>
      <c r="F25" s="10" t="b">
        <f t="shared" si="0"/>
        <v>1</v>
      </c>
      <c r="J25" s="10">
        <f t="shared" si="1"/>
        <v>0</v>
      </c>
      <c r="K25" s="11">
        <f>DATE(2025, Cashflow!$D$2, $H25)</f>
        <v>45930</v>
      </c>
    </row>
    <row r="26" spans="1:11" ht="15.75" customHeight="1">
      <c r="A26" s="20" t="b">
        <v>0</v>
      </c>
      <c r="B26" s="10" t="s">
        <v>23</v>
      </c>
      <c r="C26" s="1">
        <v>15</v>
      </c>
      <c r="D26" s="2">
        <v>181.13</v>
      </c>
      <c r="F26" s="10" t="b">
        <f t="shared" si="0"/>
        <v>1</v>
      </c>
      <c r="J26" s="10">
        <f t="shared" si="1"/>
        <v>0</v>
      </c>
      <c r="K26" s="11">
        <f>DATE(2025, Cashflow!$D$2, $H26)</f>
        <v>45930</v>
      </c>
    </row>
    <row r="27" spans="1:11" ht="15.75" customHeight="1">
      <c r="A27" s="20" t="b">
        <v>0</v>
      </c>
      <c r="B27" s="10" t="s">
        <v>24</v>
      </c>
      <c r="C27" s="1">
        <v>15</v>
      </c>
      <c r="D27" s="2">
        <v>525.13</v>
      </c>
      <c r="F27" s="10" t="b">
        <f t="shared" si="0"/>
        <v>1</v>
      </c>
      <c r="J27" s="10">
        <f t="shared" si="1"/>
        <v>0</v>
      </c>
      <c r="K27" s="11">
        <f>DATE(2025, Cashflow!$D$2, $H27)</f>
        <v>45930</v>
      </c>
    </row>
    <row r="28" spans="1:11" ht="15.75" customHeight="1">
      <c r="A28" s="20" t="b">
        <v>0</v>
      </c>
      <c r="B28" s="10" t="s">
        <v>25</v>
      </c>
      <c r="C28" s="1">
        <v>21</v>
      </c>
      <c r="D28" s="2">
        <v>235.17</v>
      </c>
      <c r="F28" s="10" t="b">
        <f t="shared" si="0"/>
        <v>1</v>
      </c>
      <c r="J28" s="10">
        <f t="shared" si="1"/>
        <v>0</v>
      </c>
      <c r="K28" s="11">
        <f>DATE(2025, Cashflow!$D$2, $H28)</f>
        <v>45930</v>
      </c>
    </row>
    <row r="29" spans="1:11" ht="15.75" customHeight="1">
      <c r="A29" s="20" t="b">
        <v>0</v>
      </c>
      <c r="B29" s="10" t="s">
        <v>26</v>
      </c>
      <c r="C29" s="1"/>
      <c r="D29" s="2">
        <v>268.44</v>
      </c>
      <c r="F29" s="10" t="b">
        <f t="shared" si="0"/>
        <v>0</v>
      </c>
      <c r="J29" s="10">
        <f t="shared" si="1"/>
        <v>0</v>
      </c>
      <c r="K29" s="11">
        <f>DATE(2025, Cashflow!$D$2, $H29)</f>
        <v>45930</v>
      </c>
    </row>
    <row r="30" spans="1:11" ht="15.75" customHeight="1">
      <c r="A30" s="20" t="b">
        <v>0</v>
      </c>
      <c r="B30" s="10" t="s">
        <v>27</v>
      </c>
      <c r="C30" s="1">
        <v>17</v>
      </c>
      <c r="D30" s="2">
        <v>878.54</v>
      </c>
      <c r="F30" s="10" t="b">
        <f t="shared" si="0"/>
        <v>1</v>
      </c>
      <c r="J30" s="10">
        <f t="shared" si="1"/>
        <v>0</v>
      </c>
      <c r="K30" s="11">
        <f>DATE(2025, Cashflow!$D$2, $H30)</f>
        <v>45930</v>
      </c>
    </row>
    <row r="31" spans="1:11" ht="15.75" customHeight="1">
      <c r="A31" s="20" t="b">
        <v>0</v>
      </c>
      <c r="B31" s="10" t="s">
        <v>28</v>
      </c>
      <c r="C31" s="1"/>
      <c r="D31" s="2"/>
      <c r="F31" s="10" t="b">
        <f t="shared" si="0"/>
        <v>0</v>
      </c>
      <c r="J31" s="10">
        <f t="shared" si="1"/>
        <v>0</v>
      </c>
      <c r="K31" s="11">
        <f>DATE(2025, Cashflow!$D$2, $H31)</f>
        <v>45930</v>
      </c>
    </row>
    <row r="32" spans="1:11" ht="8.25" customHeight="1">
      <c r="B32" s="13"/>
      <c r="C32" s="14"/>
      <c r="D32" s="15"/>
      <c r="F32" s="10" t="b">
        <f t="shared" si="0"/>
        <v>0</v>
      </c>
      <c r="J32" s="10">
        <f t="shared" si="1"/>
        <v>0</v>
      </c>
      <c r="K32" s="11">
        <f>DATE(2025, Cashflow!$D$2, $H32)</f>
        <v>45930</v>
      </c>
    </row>
    <row r="33" spans="1:11" ht="15.75" customHeight="1">
      <c r="B33" s="105" t="s">
        <v>29</v>
      </c>
      <c r="C33" s="106"/>
      <c r="D33" s="106"/>
      <c r="F33" s="10" t="b">
        <f t="shared" si="0"/>
        <v>0</v>
      </c>
      <c r="J33" s="10">
        <f t="shared" si="1"/>
        <v>0</v>
      </c>
      <c r="K33" s="11">
        <f>DATE(2025, Cashflow!$D$2, $H33)</f>
        <v>45930</v>
      </c>
    </row>
    <row r="34" spans="1:11" ht="15.75" customHeight="1">
      <c r="A34" s="20" t="b">
        <v>0</v>
      </c>
      <c r="B34" s="10" t="s">
        <v>30</v>
      </c>
      <c r="C34" s="1">
        <v>1</v>
      </c>
      <c r="D34" s="2">
        <v>153.53999999999996</v>
      </c>
      <c r="F34" s="10" t="b">
        <f t="shared" si="0"/>
        <v>1</v>
      </c>
      <c r="J34" s="10">
        <f t="shared" si="1"/>
        <v>0</v>
      </c>
      <c r="K34" s="11">
        <f>DATE(2025, Cashflow!$D$2, $H34)</f>
        <v>45930</v>
      </c>
    </row>
    <row r="35" spans="1:11" ht="15.75" customHeight="1">
      <c r="A35" s="20" t="b">
        <v>0</v>
      </c>
      <c r="B35" s="10" t="s">
        <v>31</v>
      </c>
      <c r="C35" s="1">
        <v>5</v>
      </c>
      <c r="D35" s="2">
        <v>40</v>
      </c>
      <c r="F35" s="10" t="b">
        <f t="shared" si="0"/>
        <v>1</v>
      </c>
      <c r="J35" s="10">
        <f t="shared" si="1"/>
        <v>0</v>
      </c>
      <c r="K35" s="11">
        <f>DATE(2025, Cashflow!$D$2, $H35)</f>
        <v>45930</v>
      </c>
    </row>
    <row r="36" spans="1:11" ht="15.75" customHeight="1">
      <c r="A36" s="20" t="b">
        <v>0</v>
      </c>
      <c r="B36" s="10" t="s">
        <v>32</v>
      </c>
      <c r="C36" s="1"/>
      <c r="D36" s="2">
        <v>130</v>
      </c>
      <c r="F36" s="10" t="b">
        <f t="shared" si="0"/>
        <v>0</v>
      </c>
      <c r="J36" s="10">
        <f t="shared" si="1"/>
        <v>0</v>
      </c>
      <c r="K36" s="11">
        <f>DATE(2025, Cashflow!$D$2, $H36)</f>
        <v>45930</v>
      </c>
    </row>
    <row r="37" spans="1:11" ht="15.75" customHeight="1">
      <c r="A37" s="20" t="b">
        <v>0</v>
      </c>
      <c r="B37" s="10" t="s">
        <v>33</v>
      </c>
      <c r="C37" s="1"/>
      <c r="D37" s="2">
        <f>IF($C$2="Summer", 80, 0)</f>
        <v>80</v>
      </c>
      <c r="F37" s="10" t="b">
        <f t="shared" si="0"/>
        <v>0</v>
      </c>
      <c r="J37" s="10">
        <f t="shared" si="1"/>
        <v>0</v>
      </c>
      <c r="K37" s="11">
        <f>DATE(2025, Cashflow!$D$2, $H37)</f>
        <v>45930</v>
      </c>
    </row>
    <row r="38" spans="1:11" ht="15.75" customHeight="1">
      <c r="A38" s="20" t="b">
        <v>0</v>
      </c>
      <c r="B38" s="10" t="s">
        <v>34</v>
      </c>
      <c r="C38" s="1"/>
      <c r="D38" s="2">
        <f>IF($C$2="Winter", 110, 0)</f>
        <v>0</v>
      </c>
      <c r="F38" s="10" t="b">
        <f t="shared" si="0"/>
        <v>0</v>
      </c>
      <c r="J38" s="10">
        <f t="shared" si="1"/>
        <v>0</v>
      </c>
      <c r="K38" s="11">
        <f>DATE(2025, Cashflow!$D$2, $H38)</f>
        <v>45930</v>
      </c>
    </row>
    <row r="39" spans="1:11" ht="15.75" customHeight="1">
      <c r="A39" s="20" t="b">
        <v>0</v>
      </c>
      <c r="B39" s="10" t="s">
        <v>35</v>
      </c>
      <c r="C39" s="1">
        <v>5</v>
      </c>
      <c r="D39" s="2">
        <v>10.64</v>
      </c>
      <c r="F39" s="10" t="b">
        <f t="shared" si="0"/>
        <v>1</v>
      </c>
      <c r="J39" s="10">
        <f t="shared" si="1"/>
        <v>0</v>
      </c>
      <c r="K39" s="11">
        <f>DATE(2025, Cashflow!$D$2, $H39)</f>
        <v>45930</v>
      </c>
    </row>
    <row r="40" spans="1:11" ht="15.75" customHeight="1">
      <c r="A40" s="20" t="b">
        <v>0</v>
      </c>
      <c r="B40" s="10" t="s">
        <v>36</v>
      </c>
      <c r="C40" s="1">
        <v>16</v>
      </c>
      <c r="D40" s="2">
        <v>18</v>
      </c>
      <c r="F40" s="10" t="b">
        <f t="shared" si="0"/>
        <v>1</v>
      </c>
      <c r="J40" s="10">
        <f t="shared" si="1"/>
        <v>0</v>
      </c>
      <c r="K40" s="11">
        <f>DATE(2025, Cashflow!$D$2, $H40)</f>
        <v>45930</v>
      </c>
    </row>
    <row r="41" spans="1:11" ht="8.25" customHeight="1">
      <c r="B41" s="13"/>
      <c r="C41" s="14"/>
      <c r="D41" s="15"/>
      <c r="F41" s="10" t="b">
        <f t="shared" si="0"/>
        <v>0</v>
      </c>
      <c r="J41" s="10">
        <f t="shared" si="1"/>
        <v>0</v>
      </c>
      <c r="K41" s="11">
        <f>DATE(2025, Cashflow!$D$2, $H41)</f>
        <v>45930</v>
      </c>
    </row>
    <row r="42" spans="1:11" ht="15.75" customHeight="1">
      <c r="B42" s="105" t="s">
        <v>37</v>
      </c>
      <c r="C42" s="106"/>
      <c r="D42" s="106"/>
      <c r="F42" s="10" t="b">
        <f t="shared" si="0"/>
        <v>0</v>
      </c>
      <c r="J42" s="10">
        <f t="shared" si="1"/>
        <v>0</v>
      </c>
      <c r="K42" s="11">
        <f>DATE(2025, Cashflow!$D$2, $H42)</f>
        <v>45930</v>
      </c>
    </row>
    <row r="43" spans="1:11" ht="15.75" customHeight="1">
      <c r="A43" s="20" t="b">
        <v>0</v>
      </c>
      <c r="B43" s="10" t="s">
        <v>38</v>
      </c>
      <c r="C43" s="1">
        <v>5</v>
      </c>
      <c r="D43" s="2">
        <v>95</v>
      </c>
      <c r="F43" s="10" t="b">
        <f t="shared" si="0"/>
        <v>1</v>
      </c>
      <c r="J43" s="10">
        <f t="shared" si="1"/>
        <v>0</v>
      </c>
      <c r="K43" s="11">
        <f>DATE(2025, Cashflow!$D$2, $H43)</f>
        <v>45930</v>
      </c>
    </row>
    <row r="44" spans="1:11" ht="15.75" customHeight="1">
      <c r="A44" s="20" t="b">
        <v>0</v>
      </c>
      <c r="B44" s="10" t="s">
        <v>39</v>
      </c>
      <c r="C44" s="1">
        <v>1</v>
      </c>
      <c r="D44" s="2">
        <v>0</v>
      </c>
      <c r="F44" s="10" t="b">
        <f t="shared" si="0"/>
        <v>1</v>
      </c>
      <c r="J44" s="10">
        <f t="shared" si="1"/>
        <v>0</v>
      </c>
      <c r="K44" s="11">
        <f>DATE(2025, Cashflow!$D$2, $H44)</f>
        <v>45930</v>
      </c>
    </row>
    <row r="45" spans="1:11" ht="15.75" customHeight="1">
      <c r="A45" s="20" t="b">
        <v>0</v>
      </c>
      <c r="B45" s="10" t="s">
        <v>40</v>
      </c>
      <c r="C45" s="1">
        <v>23</v>
      </c>
      <c r="D45" s="2">
        <v>171</v>
      </c>
      <c r="F45" s="10" t="b">
        <f t="shared" si="0"/>
        <v>1</v>
      </c>
      <c r="J45" s="10">
        <f t="shared" si="1"/>
        <v>0</v>
      </c>
      <c r="K45" s="11">
        <f>DATE(2025, Cashflow!$D$2, $H45)</f>
        <v>45930</v>
      </c>
    </row>
    <row r="46" spans="1:11" ht="15.75" customHeight="1">
      <c r="A46" s="20" t="b">
        <v>0</v>
      </c>
      <c r="B46" s="10" t="s">
        <v>41</v>
      </c>
      <c r="C46" s="1">
        <v>22</v>
      </c>
      <c r="D46" s="2">
        <v>150</v>
      </c>
      <c r="F46" s="10" t="b">
        <f t="shared" si="0"/>
        <v>1</v>
      </c>
      <c r="J46" s="10">
        <f t="shared" si="1"/>
        <v>0</v>
      </c>
      <c r="K46" s="11">
        <f>DATE(2025, Cashflow!$D$2, $H46)</f>
        <v>45930</v>
      </c>
    </row>
    <row r="47" spans="1:11" ht="15.75" customHeight="1">
      <c r="A47" s="20" t="b">
        <v>0</v>
      </c>
      <c r="B47" s="10" t="s">
        <v>42</v>
      </c>
      <c r="C47" s="1">
        <v>28</v>
      </c>
      <c r="D47" s="2">
        <v>74.95</v>
      </c>
      <c r="F47" s="10" t="b">
        <f t="shared" si="0"/>
        <v>1</v>
      </c>
      <c r="J47" s="10">
        <f t="shared" si="1"/>
        <v>0</v>
      </c>
      <c r="K47" s="11">
        <f>DATE(2025, Cashflow!$D$2, $H47)</f>
        <v>45930</v>
      </c>
    </row>
    <row r="48" spans="1:11" ht="15.75" customHeight="1">
      <c r="A48" s="20" t="b">
        <v>0</v>
      </c>
      <c r="B48" s="10" t="s">
        <v>43</v>
      </c>
      <c r="C48" s="1">
        <v>16</v>
      </c>
      <c r="D48" s="2">
        <v>82.37</v>
      </c>
      <c r="F48" s="10" t="b">
        <f t="shared" si="0"/>
        <v>1</v>
      </c>
      <c r="J48" s="10">
        <f t="shared" si="1"/>
        <v>0</v>
      </c>
      <c r="K48" s="11">
        <f>DATE(2025, Cashflow!$D$2, $H48)</f>
        <v>45930</v>
      </c>
    </row>
    <row r="49" spans="1:11" ht="8.25" customHeight="1">
      <c r="B49" s="13"/>
      <c r="C49" s="14"/>
      <c r="D49" s="15"/>
      <c r="F49" s="10" t="b">
        <f t="shared" si="0"/>
        <v>0</v>
      </c>
      <c r="J49" s="10">
        <f t="shared" si="1"/>
        <v>0</v>
      </c>
      <c r="K49" s="11">
        <f>DATE(2025, Cashflow!$D$2, $H49)</f>
        <v>45930</v>
      </c>
    </row>
    <row r="50" spans="1:11" ht="15.75" customHeight="1">
      <c r="B50" s="105" t="s">
        <v>44</v>
      </c>
      <c r="C50" s="106"/>
      <c r="D50" s="106"/>
      <c r="F50" s="10" t="b">
        <f t="shared" si="0"/>
        <v>0</v>
      </c>
      <c r="J50" s="10">
        <f t="shared" si="1"/>
        <v>0</v>
      </c>
      <c r="K50" s="11">
        <f>DATE(2025, Cashflow!$D$2, $H50)</f>
        <v>45930</v>
      </c>
    </row>
    <row r="51" spans="1:11" ht="15.75" customHeight="1">
      <c r="A51" s="20" t="b">
        <v>0</v>
      </c>
      <c r="B51" s="10" t="s">
        <v>45</v>
      </c>
      <c r="C51" s="1">
        <v>4</v>
      </c>
      <c r="D51" s="2">
        <v>250</v>
      </c>
      <c r="F51" s="10" t="b">
        <f t="shared" si="0"/>
        <v>1</v>
      </c>
      <c r="J51" s="10">
        <f t="shared" si="1"/>
        <v>0</v>
      </c>
      <c r="K51" s="11">
        <f>DATE(2025, Cashflow!$D$2, $H51)</f>
        <v>45930</v>
      </c>
    </row>
    <row r="52" spans="1:11" ht="15.75" customHeight="1">
      <c r="A52" s="20" t="b">
        <v>0</v>
      </c>
      <c r="B52" s="10" t="s">
        <v>45</v>
      </c>
      <c r="C52" s="1">
        <v>11</v>
      </c>
      <c r="D52" s="2">
        <v>250</v>
      </c>
      <c r="F52" s="10" t="b">
        <f t="shared" si="0"/>
        <v>1</v>
      </c>
      <c r="J52" s="10">
        <f t="shared" si="1"/>
        <v>0</v>
      </c>
      <c r="K52" s="11">
        <f>DATE(2025, Cashflow!$D$2, $H52)</f>
        <v>45930</v>
      </c>
    </row>
    <row r="53" spans="1:11" ht="15.75" customHeight="1">
      <c r="A53" s="20" t="b">
        <v>0</v>
      </c>
      <c r="B53" s="10" t="s">
        <v>45</v>
      </c>
      <c r="C53" s="1">
        <v>18</v>
      </c>
      <c r="D53" s="2">
        <v>250</v>
      </c>
      <c r="F53" s="10" t="b">
        <f t="shared" si="0"/>
        <v>1</v>
      </c>
      <c r="J53" s="10">
        <f t="shared" si="1"/>
        <v>0</v>
      </c>
      <c r="K53" s="11">
        <f>DATE(2025, Cashflow!$D$2, $H53)</f>
        <v>45930</v>
      </c>
    </row>
    <row r="54" spans="1:11" ht="15.75" customHeight="1">
      <c r="A54" s="20" t="b">
        <v>0</v>
      </c>
      <c r="B54" s="10" t="s">
        <v>45</v>
      </c>
      <c r="C54" s="1">
        <v>24</v>
      </c>
      <c r="D54" s="2">
        <v>250</v>
      </c>
      <c r="F54" s="10" t="b">
        <f t="shared" si="0"/>
        <v>1</v>
      </c>
      <c r="J54" s="10">
        <f t="shared" si="1"/>
        <v>0</v>
      </c>
      <c r="K54" s="11">
        <f>DATE(2025, Cashflow!$D$2, $H54)</f>
        <v>45930</v>
      </c>
    </row>
    <row r="55" spans="1:11" ht="15.75" customHeight="1">
      <c r="A55" s="20" t="b">
        <v>0</v>
      </c>
      <c r="B55" s="10" t="s">
        <v>46</v>
      </c>
      <c r="C55" s="1">
        <v>16</v>
      </c>
      <c r="D55" s="2">
        <v>30</v>
      </c>
      <c r="F55" s="10" t="b">
        <f t="shared" si="0"/>
        <v>1</v>
      </c>
      <c r="J55" s="10">
        <f t="shared" si="1"/>
        <v>0</v>
      </c>
      <c r="K55" s="11">
        <f>DATE(2025, Cashflow!$D$2, $H55)</f>
        <v>45930</v>
      </c>
    </row>
    <row r="56" spans="1:11" ht="15.75" customHeight="1">
      <c r="A56" s="20" t="b">
        <v>0</v>
      </c>
      <c r="B56" s="10" t="s">
        <v>47</v>
      </c>
      <c r="C56" s="1">
        <v>16</v>
      </c>
      <c r="D56" s="2">
        <v>50</v>
      </c>
      <c r="F56" s="10" t="b">
        <f t="shared" si="0"/>
        <v>1</v>
      </c>
      <c r="J56" s="10">
        <f t="shared" si="1"/>
        <v>0</v>
      </c>
      <c r="K56" s="11">
        <f>DATE(2025, Cashflow!$D$2, $H56)</f>
        <v>45930</v>
      </c>
    </row>
    <row r="57" spans="1:11" ht="8.25" customHeight="1">
      <c r="B57" s="13"/>
      <c r="C57" s="14"/>
      <c r="D57" s="15"/>
      <c r="F57" s="10" t="b">
        <f t="shared" si="0"/>
        <v>0</v>
      </c>
      <c r="J57" s="10">
        <f t="shared" si="1"/>
        <v>0</v>
      </c>
      <c r="K57" s="11">
        <f>DATE(2025, Cashflow!$D$2, $H57)</f>
        <v>45930</v>
      </c>
    </row>
    <row r="58" spans="1:11" ht="15.75" customHeight="1">
      <c r="B58" s="105" t="s">
        <v>48</v>
      </c>
      <c r="C58" s="106"/>
      <c r="D58" s="106"/>
      <c r="F58" s="10" t="b">
        <f t="shared" si="0"/>
        <v>0</v>
      </c>
      <c r="J58" s="10">
        <f t="shared" si="1"/>
        <v>0</v>
      </c>
      <c r="K58" s="11">
        <f>DATE(2025, Cashflow!$D$2, $H58)</f>
        <v>45930</v>
      </c>
    </row>
    <row r="59" spans="1:11" ht="15.75" customHeight="1">
      <c r="A59" s="20" t="b">
        <v>0</v>
      </c>
      <c r="B59" s="10" t="s">
        <v>49</v>
      </c>
      <c r="C59" s="1">
        <v>24</v>
      </c>
      <c r="D59" s="2">
        <v>22.23</v>
      </c>
      <c r="F59" s="10" t="b">
        <f t="shared" si="0"/>
        <v>1</v>
      </c>
      <c r="J59" s="10">
        <f t="shared" si="1"/>
        <v>0</v>
      </c>
      <c r="K59" s="11">
        <f>DATE(2025, Cashflow!$D$2, $H59)</f>
        <v>45930</v>
      </c>
    </row>
    <row r="60" spans="1:11" ht="15.75" customHeight="1">
      <c r="A60" s="20" t="b">
        <v>0</v>
      </c>
      <c r="B60" s="10" t="s">
        <v>50</v>
      </c>
      <c r="C60" s="1">
        <v>6</v>
      </c>
      <c r="D60" s="2">
        <v>32.869999999999997</v>
      </c>
      <c r="F60" s="10" t="b">
        <f t="shared" si="0"/>
        <v>1</v>
      </c>
      <c r="J60" s="10">
        <f t="shared" si="1"/>
        <v>0</v>
      </c>
      <c r="K60" s="11">
        <f>DATE(2025, Cashflow!$D$2, $H60)</f>
        <v>45930</v>
      </c>
    </row>
    <row r="61" spans="1:11" ht="15.75" customHeight="1">
      <c r="A61" s="20" t="b">
        <v>0</v>
      </c>
      <c r="B61" s="10" t="s">
        <v>51</v>
      </c>
      <c r="C61" s="1" t="s">
        <v>52</v>
      </c>
      <c r="D61" s="2">
        <v>210.58</v>
      </c>
      <c r="F61" s="10" t="b">
        <f t="shared" si="0"/>
        <v>1</v>
      </c>
      <c r="J61" s="10">
        <f t="shared" si="1"/>
        <v>0</v>
      </c>
      <c r="K61" s="11">
        <f>DATE(2025, Cashflow!$D$2, $H61)</f>
        <v>45930</v>
      </c>
    </row>
    <row r="62" spans="1:11" ht="15.75" customHeight="1">
      <c r="A62" s="20" t="b">
        <v>0</v>
      </c>
      <c r="B62" s="10" t="s">
        <v>53</v>
      </c>
      <c r="C62" s="1">
        <v>14</v>
      </c>
      <c r="D62" s="2">
        <v>14.99</v>
      </c>
      <c r="F62" s="10" t="b">
        <f t="shared" si="0"/>
        <v>1</v>
      </c>
      <c r="J62" s="10">
        <f t="shared" si="1"/>
        <v>0</v>
      </c>
      <c r="K62" s="11">
        <f>DATE(2025, Cashflow!$D$2, $H62)</f>
        <v>45930</v>
      </c>
    </row>
    <row r="63" spans="1:11" ht="15.75" customHeight="1">
      <c r="A63" s="20" t="b">
        <v>0</v>
      </c>
      <c r="B63" s="10" t="s">
        <v>54</v>
      </c>
      <c r="C63" s="1">
        <v>29</v>
      </c>
      <c r="D63" s="2">
        <v>5.99</v>
      </c>
      <c r="F63" s="10" t="b">
        <f t="shared" si="0"/>
        <v>1</v>
      </c>
      <c r="J63" s="10">
        <f t="shared" si="1"/>
        <v>0</v>
      </c>
      <c r="K63" s="11">
        <f>DATE(2025, Cashflow!$D$2, $H63)</f>
        <v>45930</v>
      </c>
    </row>
    <row r="64" spans="1:11" ht="15.75" customHeight="1">
      <c r="A64" s="20" t="b">
        <v>0</v>
      </c>
      <c r="B64" s="10" t="s">
        <v>55</v>
      </c>
      <c r="C64" s="1">
        <v>25</v>
      </c>
      <c r="D64" s="2">
        <v>14.04</v>
      </c>
      <c r="F64" s="10" t="b">
        <f t="shared" si="0"/>
        <v>1</v>
      </c>
      <c r="J64" s="10">
        <f t="shared" si="1"/>
        <v>0</v>
      </c>
      <c r="K64" s="11">
        <f>DATE(2025, Cashflow!$D$2, $H64)</f>
        <v>45930</v>
      </c>
    </row>
    <row r="65" spans="1:26" ht="15.75" customHeight="1">
      <c r="A65" s="20" t="b">
        <v>0</v>
      </c>
      <c r="B65" s="10" t="s">
        <v>56</v>
      </c>
      <c r="C65" s="1">
        <v>17</v>
      </c>
      <c r="D65" s="2">
        <v>14.14</v>
      </c>
      <c r="F65" s="10" t="b">
        <f t="shared" si="0"/>
        <v>1</v>
      </c>
      <c r="J65" s="10">
        <f t="shared" si="1"/>
        <v>0</v>
      </c>
      <c r="K65" s="11">
        <f>DATE(2025, Cashflow!$D$2, $H65)</f>
        <v>45930</v>
      </c>
    </row>
    <row r="66" spans="1:26" ht="15.75" customHeight="1">
      <c r="A66" s="20" t="b">
        <v>0</v>
      </c>
      <c r="B66" s="10" t="s">
        <v>57</v>
      </c>
      <c r="C66" s="1">
        <v>23</v>
      </c>
      <c r="D66" s="2">
        <v>19.3</v>
      </c>
      <c r="F66" s="10" t="b">
        <f t="shared" si="0"/>
        <v>1</v>
      </c>
      <c r="J66" s="10">
        <f t="shared" si="1"/>
        <v>0</v>
      </c>
      <c r="K66" s="11">
        <f>DATE(2025, Cashflow!$D$2, $H66)</f>
        <v>45930</v>
      </c>
    </row>
    <row r="67" spans="1:26" ht="15.75" customHeight="1">
      <c r="A67" s="20" t="b">
        <v>0</v>
      </c>
      <c r="B67" s="10" t="s">
        <v>58</v>
      </c>
      <c r="C67" s="1">
        <v>9</v>
      </c>
      <c r="D67" s="2">
        <v>14.99</v>
      </c>
      <c r="F67" s="10" t="b">
        <f t="shared" si="0"/>
        <v>1</v>
      </c>
      <c r="J67" s="10">
        <f t="shared" si="1"/>
        <v>0</v>
      </c>
      <c r="K67" s="11">
        <f>DATE(2025, Cashflow!$D$2, $H67)</f>
        <v>45930</v>
      </c>
    </row>
    <row r="68" spans="1:26" ht="15.75" customHeight="1">
      <c r="A68" s="20" t="b">
        <v>0</v>
      </c>
      <c r="B68" s="10" t="s">
        <v>59</v>
      </c>
      <c r="C68" s="1">
        <v>16</v>
      </c>
      <c r="D68" s="2">
        <v>20.2</v>
      </c>
      <c r="F68" s="10" t="b">
        <f t="shared" si="0"/>
        <v>1</v>
      </c>
      <c r="J68" s="10">
        <f t="shared" si="1"/>
        <v>0</v>
      </c>
      <c r="K68" s="11">
        <f>DATE(2025, Cashflow!$D$2, $H68)</f>
        <v>45930</v>
      </c>
    </row>
    <row r="69" spans="1:26" ht="15.75" customHeight="1">
      <c r="A69" s="20" t="b">
        <v>0</v>
      </c>
      <c r="B69" s="10" t="s">
        <v>60</v>
      </c>
      <c r="C69" s="1">
        <v>15</v>
      </c>
      <c r="D69" s="2">
        <v>250</v>
      </c>
      <c r="F69" s="10" t="b">
        <f t="shared" si="0"/>
        <v>1</v>
      </c>
      <c r="J69" s="10">
        <f t="shared" si="1"/>
        <v>0</v>
      </c>
      <c r="K69" s="11">
        <f>DATE(2025, Cashflow!$D$2, $H69)</f>
        <v>45930</v>
      </c>
    </row>
    <row r="70" spans="1:26" ht="15.75" customHeight="1">
      <c r="A70" s="20" t="b">
        <v>0</v>
      </c>
      <c r="B70" s="10" t="s">
        <v>61</v>
      </c>
      <c r="C70" s="1">
        <v>30</v>
      </c>
      <c r="D70" s="2">
        <v>250</v>
      </c>
      <c r="F70" s="10" t="b">
        <f t="shared" si="0"/>
        <v>1</v>
      </c>
      <c r="J70" s="10">
        <f t="shared" si="1"/>
        <v>0</v>
      </c>
      <c r="K70" s="11">
        <f>DATE(2025, Cashflow!$D$2, $H70)</f>
        <v>45930</v>
      </c>
    </row>
    <row r="71" spans="1:26" ht="8.25" customHeight="1">
      <c r="B71" s="13"/>
      <c r="C71" s="14"/>
      <c r="D71" s="15"/>
      <c r="F71" s="10" t="b">
        <f t="shared" si="0"/>
        <v>0</v>
      </c>
      <c r="J71" s="10">
        <f t="shared" si="1"/>
        <v>0</v>
      </c>
      <c r="K71" s="11">
        <f>DATE(2025, Cashflow!$D$2, $H71)</f>
        <v>45930</v>
      </c>
    </row>
    <row r="72" spans="1:26" ht="15.75" customHeight="1">
      <c r="B72" s="105" t="s">
        <v>62</v>
      </c>
      <c r="C72" s="106"/>
      <c r="D72" s="106"/>
      <c r="F72" s="10" t="b">
        <f t="shared" si="0"/>
        <v>0</v>
      </c>
      <c r="J72" s="10">
        <f t="shared" si="1"/>
        <v>0</v>
      </c>
      <c r="K72" s="11">
        <f>DATE(2025, Cashflow!$D$2, $H72)</f>
        <v>45930</v>
      </c>
    </row>
    <row r="73" spans="1:26" ht="15.75" customHeight="1">
      <c r="A73" s="20" t="b">
        <v>0</v>
      </c>
      <c r="B73" s="10" t="s">
        <v>49</v>
      </c>
      <c r="C73" s="1">
        <v>24</v>
      </c>
      <c r="D73" s="2">
        <v>0</v>
      </c>
      <c r="F73" s="10" t="b">
        <f t="shared" si="0"/>
        <v>1</v>
      </c>
      <c r="J73" s="10">
        <f t="shared" si="1"/>
        <v>0</v>
      </c>
      <c r="K73" s="11">
        <f>DATE(2025, Cashflow!$D$2, $H73)</f>
        <v>45930</v>
      </c>
    </row>
    <row r="74" spans="1:26" ht="15.75" customHeight="1">
      <c r="A74" s="20" t="b">
        <v>0</v>
      </c>
      <c r="B74" s="10" t="s">
        <v>50</v>
      </c>
      <c r="C74" s="1">
        <v>6</v>
      </c>
      <c r="D74" s="2">
        <v>0</v>
      </c>
      <c r="F74" s="10" t="b">
        <f t="shared" si="0"/>
        <v>1</v>
      </c>
      <c r="J74" s="10">
        <f t="shared" si="1"/>
        <v>0</v>
      </c>
      <c r="K74" s="11">
        <f>DATE(2025, Cashflow!$D$2, $H74)</f>
        <v>45930</v>
      </c>
    </row>
    <row r="75" spans="1:26" ht="8.25" customHeight="1">
      <c r="B75" s="13"/>
      <c r="C75" s="14"/>
      <c r="D75" s="15"/>
      <c r="F75" s="10" t="b">
        <f t="shared" si="0"/>
        <v>0</v>
      </c>
      <c r="J75" s="10">
        <f t="shared" si="1"/>
        <v>0</v>
      </c>
      <c r="K75" s="11">
        <f>DATE(2025, Cashflow!$D$2, $H75)</f>
        <v>45930</v>
      </c>
    </row>
    <row r="76" spans="1:26" ht="15.75" customHeight="1">
      <c r="A76" s="16"/>
      <c r="B76" s="21" t="s">
        <v>63</v>
      </c>
      <c r="C76" s="22"/>
      <c r="D76" s="23">
        <f>$D$14-SUM($D$17:$D$75)</f>
        <v>1143.2200000000012</v>
      </c>
      <c r="E76" s="16"/>
      <c r="F76" s="10" t="b">
        <f t="shared" si="0"/>
        <v>0</v>
      </c>
      <c r="G76" s="16"/>
      <c r="H76" s="16"/>
      <c r="I76" s="16"/>
      <c r="J76" s="10">
        <f t="shared" si="1"/>
        <v>0</v>
      </c>
      <c r="K76" s="11">
        <f>DATE(2025, Cashflow!$D$2, $H76)</f>
        <v>45930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8.25" customHeight="1">
      <c r="C77" s="1"/>
      <c r="D77" s="2"/>
      <c r="F77" s="10" t="b">
        <f t="shared" si="0"/>
        <v>0</v>
      </c>
      <c r="J77" s="10">
        <f t="shared" si="1"/>
        <v>0</v>
      </c>
      <c r="K77" s="11">
        <f>DATE(2025, Cashflow!$D$2, $H77)</f>
        <v>45930</v>
      </c>
    </row>
    <row r="78" spans="1:26" ht="15.75" customHeight="1">
      <c r="C78" s="1"/>
      <c r="D78" s="2"/>
      <c r="F78" s="10" t="b">
        <f t="shared" si="0"/>
        <v>0</v>
      </c>
      <c r="J78" s="10">
        <f t="shared" si="1"/>
        <v>0</v>
      </c>
      <c r="K78" s="11">
        <f>DATE(2025, Cashflow!$D$2, $H78)</f>
        <v>45930</v>
      </c>
    </row>
    <row r="79" spans="1:26" ht="15.75" customHeight="1">
      <c r="B79" s="105" t="s">
        <v>64</v>
      </c>
      <c r="C79" s="106"/>
      <c r="D79" s="106"/>
      <c r="F79" s="10" t="b">
        <f t="shared" si="0"/>
        <v>0</v>
      </c>
      <c r="J79" s="10">
        <f t="shared" si="1"/>
        <v>0</v>
      </c>
      <c r="K79" s="11">
        <f>DATE(2025, Cashflow!$D$2, $H79)</f>
        <v>45930</v>
      </c>
    </row>
    <row r="80" spans="1:26" ht="15.75" customHeight="1">
      <c r="B80" s="10" t="s">
        <v>65</v>
      </c>
      <c r="C80" s="1"/>
      <c r="D80" s="2"/>
      <c r="F80" s="10" t="b">
        <f t="shared" si="0"/>
        <v>0</v>
      </c>
      <c r="J80" s="10">
        <f t="shared" si="1"/>
        <v>0</v>
      </c>
      <c r="K80" s="11">
        <f>DATE(2025, Cashflow!$D$2, $H80)</f>
        <v>45930</v>
      </c>
    </row>
    <row r="81" spans="2:11" ht="15.75" customHeight="1">
      <c r="B81" s="10" t="s">
        <v>66</v>
      </c>
      <c r="C81" s="1"/>
      <c r="D81" s="2"/>
      <c r="F81" s="10" t="b">
        <f t="shared" si="0"/>
        <v>0</v>
      </c>
      <c r="J81" s="10">
        <f t="shared" si="1"/>
        <v>0</v>
      </c>
      <c r="K81" s="11">
        <f>DATE(2025, Cashflow!$D$2, $H81)</f>
        <v>45930</v>
      </c>
    </row>
    <row r="82" spans="2:11" ht="15.75" customHeight="1">
      <c r="C82" s="1"/>
      <c r="D82" s="2"/>
      <c r="F82" s="10" t="b">
        <f t="shared" si="0"/>
        <v>0</v>
      </c>
      <c r="J82" s="10">
        <f t="shared" si="1"/>
        <v>0</v>
      </c>
      <c r="K82" s="11">
        <f>DATE(2025, Cashflow!$D$2, $H82)</f>
        <v>45930</v>
      </c>
    </row>
    <row r="83" spans="2:11" ht="15.75" customHeight="1">
      <c r="C83" s="1"/>
      <c r="D83" s="2"/>
      <c r="F83" s="10" t="b">
        <f t="shared" si="0"/>
        <v>0</v>
      </c>
      <c r="J83" s="10">
        <f t="shared" si="1"/>
        <v>0</v>
      </c>
      <c r="K83" s="11">
        <f>DATE(2025, Cashflow!$D$2, $H83)</f>
        <v>45930</v>
      </c>
    </row>
    <row r="84" spans="2:11" ht="15.75" customHeight="1">
      <c r="C84" s="1"/>
      <c r="D84" s="2"/>
      <c r="F84" s="10" t="b">
        <f t="shared" si="0"/>
        <v>0</v>
      </c>
      <c r="J84" s="10">
        <f t="shared" si="1"/>
        <v>0</v>
      </c>
      <c r="K84" s="11">
        <f>DATE(2025, Cashflow!$D$2, $H84)</f>
        <v>45930</v>
      </c>
    </row>
    <row r="85" spans="2:11" ht="15.75" customHeight="1">
      <c r="C85" s="1"/>
      <c r="D85" s="2"/>
      <c r="F85" s="10" t="b">
        <f t="shared" si="0"/>
        <v>0</v>
      </c>
      <c r="J85" s="10">
        <f t="shared" si="1"/>
        <v>0</v>
      </c>
      <c r="K85" s="11">
        <f>DATE(2025, Cashflow!$D$2, $H85)</f>
        <v>45930</v>
      </c>
    </row>
    <row r="86" spans="2:11" ht="15.75" customHeight="1">
      <c r="C86" s="1"/>
      <c r="D86" s="2"/>
      <c r="F86" s="10" t="b">
        <f t="shared" si="0"/>
        <v>0</v>
      </c>
      <c r="J86" s="10">
        <f t="shared" si="1"/>
        <v>0</v>
      </c>
      <c r="K86" s="11">
        <f>DATE(2025, Cashflow!$D$2, $H86)</f>
        <v>45930</v>
      </c>
    </row>
    <row r="87" spans="2:11" ht="15.75" customHeight="1">
      <c r="C87" s="1"/>
      <c r="D87" s="2"/>
      <c r="F87" s="10" t="b">
        <f t="shared" si="0"/>
        <v>0</v>
      </c>
      <c r="J87" s="10">
        <f t="shared" si="1"/>
        <v>0</v>
      </c>
      <c r="K87" s="11">
        <f>DATE(2025, Cashflow!$D$2, $H87)</f>
        <v>45930</v>
      </c>
    </row>
    <row r="88" spans="2:11" ht="15.75" customHeight="1">
      <c r="C88" s="1"/>
      <c r="D88" s="2"/>
      <c r="F88" s="10" t="b">
        <f t="shared" si="0"/>
        <v>0</v>
      </c>
      <c r="J88" s="10">
        <f t="shared" si="1"/>
        <v>0</v>
      </c>
      <c r="K88" s="11">
        <f>DATE(2025, Cashflow!$D$2, $H88)</f>
        <v>45930</v>
      </c>
    </row>
    <row r="89" spans="2:11" ht="15.75" customHeight="1">
      <c r="C89" s="1"/>
      <c r="D89" s="2"/>
      <c r="F89" s="10" t="b">
        <f t="shared" si="0"/>
        <v>0</v>
      </c>
      <c r="J89" s="10">
        <f t="shared" si="1"/>
        <v>0</v>
      </c>
      <c r="K89" s="11">
        <f>DATE(2025, Cashflow!$D$2, $H89)</f>
        <v>45930</v>
      </c>
    </row>
    <row r="90" spans="2:11" ht="15.75" customHeight="1">
      <c r="C90" s="1"/>
      <c r="D90" s="2"/>
      <c r="F90" s="10" t="b">
        <f t="shared" si="0"/>
        <v>0</v>
      </c>
      <c r="J90" s="10">
        <f t="shared" si="1"/>
        <v>0</v>
      </c>
      <c r="K90" s="11">
        <f>DATE(2025, Cashflow!$D$2, $H90)</f>
        <v>45930</v>
      </c>
    </row>
    <row r="91" spans="2:11" ht="15.75" customHeight="1">
      <c r="C91" s="1"/>
      <c r="D91" s="2"/>
    </row>
    <row r="92" spans="2:11" ht="15.75" customHeight="1">
      <c r="C92" s="1"/>
      <c r="D92" s="2"/>
    </row>
    <row r="93" spans="2:11" ht="15.75" customHeight="1">
      <c r="C93" s="1"/>
      <c r="D93" s="2"/>
    </row>
    <row r="94" spans="2:11" ht="15.75" customHeight="1">
      <c r="C94" s="1"/>
      <c r="D94" s="2"/>
    </row>
    <row r="95" spans="2:11" ht="15.75" customHeight="1">
      <c r="C95" s="1"/>
      <c r="D95" s="2"/>
    </row>
    <row r="96" spans="2:11" ht="15.75" customHeight="1">
      <c r="C96" s="1"/>
      <c r="D96" s="2"/>
    </row>
    <row r="97" spans="3:4" ht="15.75" customHeight="1">
      <c r="C97" s="1"/>
      <c r="D97" s="2"/>
    </row>
    <row r="98" spans="3:4" ht="15.75" customHeight="1">
      <c r="C98" s="1"/>
      <c r="D98" s="2"/>
    </row>
    <row r="99" spans="3:4" ht="15.75" customHeight="1">
      <c r="C99" s="1"/>
      <c r="D99" s="2"/>
    </row>
    <row r="100" spans="3:4" ht="15.75" customHeight="1">
      <c r="C100" s="1"/>
      <c r="D100" s="2"/>
    </row>
    <row r="101" spans="3:4" ht="15.75" customHeight="1">
      <c r="C101" s="1"/>
      <c r="D101" s="2"/>
    </row>
    <row r="102" spans="3:4" ht="15.75" customHeight="1">
      <c r="C102" s="1"/>
      <c r="D102" s="2"/>
    </row>
    <row r="103" spans="3:4" ht="15.75" customHeight="1">
      <c r="C103" s="1"/>
      <c r="D103" s="2"/>
    </row>
    <row r="104" spans="3:4" ht="15.75" customHeight="1">
      <c r="C104" s="1"/>
      <c r="D104" s="2"/>
    </row>
    <row r="105" spans="3:4" ht="15.75" customHeight="1">
      <c r="C105" s="1"/>
      <c r="D105" s="2"/>
    </row>
    <row r="106" spans="3:4" ht="15.75" customHeight="1">
      <c r="C106" s="1"/>
      <c r="D106" s="2"/>
    </row>
    <row r="107" spans="3:4" ht="15.75" customHeight="1">
      <c r="C107" s="1"/>
      <c r="D107" s="2"/>
    </row>
    <row r="108" spans="3:4" ht="15.75" customHeight="1">
      <c r="C108" s="1"/>
      <c r="D108" s="2"/>
    </row>
    <row r="109" spans="3:4" ht="15.75" customHeight="1">
      <c r="C109" s="1"/>
      <c r="D109" s="2"/>
    </row>
    <row r="110" spans="3:4" ht="15.75" customHeight="1">
      <c r="C110" s="1"/>
      <c r="D110" s="2"/>
    </row>
    <row r="111" spans="3:4" ht="15.75" customHeight="1">
      <c r="C111" s="1"/>
      <c r="D111" s="2"/>
    </row>
    <row r="112" spans="3:4" ht="15.75" customHeight="1">
      <c r="C112" s="1"/>
      <c r="D112" s="2"/>
    </row>
    <row r="113" spans="3:4" ht="15.75" customHeight="1">
      <c r="C113" s="1"/>
      <c r="D113" s="2"/>
    </row>
    <row r="114" spans="3:4" ht="15.75" customHeight="1">
      <c r="C114" s="1"/>
      <c r="D114" s="2"/>
    </row>
    <row r="115" spans="3:4" ht="15.75" customHeight="1">
      <c r="C115" s="1"/>
      <c r="D115" s="2"/>
    </row>
    <row r="116" spans="3:4" ht="15.75" customHeight="1">
      <c r="C116" s="1"/>
      <c r="D116" s="2"/>
    </row>
    <row r="117" spans="3:4" ht="15.75" customHeight="1">
      <c r="C117" s="1"/>
      <c r="D117" s="2"/>
    </row>
    <row r="118" spans="3:4" ht="15.75" customHeight="1">
      <c r="C118" s="1"/>
      <c r="D118" s="2"/>
    </row>
    <row r="119" spans="3:4" ht="15.75" customHeight="1">
      <c r="C119" s="1"/>
      <c r="D119" s="2"/>
    </row>
    <row r="120" spans="3:4" ht="15.75" customHeight="1">
      <c r="C120" s="1"/>
      <c r="D120" s="2"/>
    </row>
    <row r="121" spans="3:4" ht="15.75" customHeight="1">
      <c r="C121" s="1"/>
      <c r="D121" s="2"/>
    </row>
    <row r="122" spans="3:4" ht="15.75" customHeight="1">
      <c r="C122" s="1"/>
      <c r="D122" s="2"/>
    </row>
    <row r="123" spans="3:4" ht="15.75" customHeight="1">
      <c r="C123" s="1"/>
      <c r="D123" s="2"/>
    </row>
    <row r="124" spans="3:4" ht="15.75" customHeight="1">
      <c r="C124" s="1"/>
      <c r="D124" s="2"/>
    </row>
    <row r="125" spans="3:4" ht="15.75" customHeight="1">
      <c r="C125" s="1"/>
      <c r="D125" s="2"/>
    </row>
    <row r="126" spans="3:4" ht="15.75" customHeight="1">
      <c r="C126" s="1"/>
      <c r="D126" s="2"/>
    </row>
    <row r="127" spans="3:4" ht="15.75" customHeight="1">
      <c r="C127" s="1"/>
      <c r="D127" s="2"/>
    </row>
    <row r="128" spans="3:4" ht="15.75" customHeight="1">
      <c r="C128" s="1"/>
      <c r="D128" s="2"/>
    </row>
    <row r="129" spans="3:4" ht="15.75" customHeight="1">
      <c r="C129" s="1"/>
      <c r="D129" s="2"/>
    </row>
    <row r="130" spans="3:4" ht="15.75" customHeight="1">
      <c r="C130" s="1"/>
      <c r="D130" s="2"/>
    </row>
    <row r="131" spans="3:4" ht="15.75" customHeight="1">
      <c r="C131" s="1"/>
      <c r="D131" s="2"/>
    </row>
    <row r="132" spans="3:4" ht="15.75" customHeight="1">
      <c r="C132" s="1"/>
      <c r="D132" s="2"/>
    </row>
    <row r="133" spans="3:4" ht="15.75" customHeight="1">
      <c r="C133" s="1"/>
      <c r="D133" s="2"/>
    </row>
    <row r="134" spans="3:4" ht="15.75" customHeight="1">
      <c r="C134" s="1"/>
      <c r="D134" s="2"/>
    </row>
    <row r="135" spans="3:4" ht="15.75" customHeight="1">
      <c r="C135" s="1"/>
      <c r="D135" s="2"/>
    </row>
    <row r="136" spans="3:4" ht="15.75" customHeight="1">
      <c r="C136" s="1"/>
      <c r="D136" s="2"/>
    </row>
    <row r="137" spans="3:4" ht="15.75" customHeight="1">
      <c r="C137" s="1"/>
      <c r="D137" s="2"/>
    </row>
    <row r="138" spans="3:4" ht="15.75" customHeight="1">
      <c r="C138" s="1"/>
      <c r="D138" s="2"/>
    </row>
    <row r="139" spans="3:4" ht="15.75" customHeight="1">
      <c r="C139" s="1"/>
      <c r="D139" s="2"/>
    </row>
    <row r="140" spans="3:4" ht="15.75" customHeight="1">
      <c r="C140" s="1"/>
      <c r="D140" s="2"/>
    </row>
    <row r="141" spans="3:4" ht="15.75" customHeight="1">
      <c r="C141" s="1"/>
      <c r="D141" s="2"/>
    </row>
    <row r="142" spans="3:4" ht="15.75" customHeight="1">
      <c r="C142" s="1"/>
      <c r="D142" s="2"/>
    </row>
    <row r="143" spans="3:4" ht="15.75" customHeight="1">
      <c r="C143" s="1"/>
      <c r="D143" s="2"/>
    </row>
    <row r="144" spans="3:4" ht="15.75" customHeight="1">
      <c r="C144" s="1"/>
      <c r="D144" s="2"/>
    </row>
    <row r="145" spans="3:4" ht="15.75" customHeight="1">
      <c r="C145" s="1"/>
      <c r="D145" s="2"/>
    </row>
    <row r="146" spans="3:4" ht="15.75" customHeight="1">
      <c r="C146" s="1"/>
      <c r="D146" s="2"/>
    </row>
    <row r="147" spans="3:4" ht="15.75" customHeight="1">
      <c r="C147" s="1"/>
      <c r="D147" s="2"/>
    </row>
    <row r="148" spans="3:4" ht="15.75" customHeight="1">
      <c r="C148" s="1"/>
      <c r="D148" s="2"/>
    </row>
    <row r="149" spans="3:4" ht="15.75" customHeight="1">
      <c r="C149" s="1"/>
      <c r="D149" s="2"/>
    </row>
    <row r="150" spans="3:4" ht="15.75" customHeight="1">
      <c r="C150" s="1"/>
      <c r="D150" s="2"/>
    </row>
    <row r="151" spans="3:4" ht="15.75" customHeight="1">
      <c r="C151" s="1"/>
      <c r="D151" s="2"/>
    </row>
    <row r="152" spans="3:4" ht="15.75" customHeight="1">
      <c r="C152" s="1"/>
      <c r="D152" s="2"/>
    </row>
    <row r="153" spans="3:4" ht="15.75" customHeight="1">
      <c r="C153" s="1"/>
      <c r="D153" s="2"/>
    </row>
    <row r="154" spans="3:4" ht="15.75" customHeight="1">
      <c r="C154" s="1"/>
      <c r="D154" s="2"/>
    </row>
    <row r="155" spans="3:4" ht="15.75" customHeight="1">
      <c r="C155" s="1"/>
      <c r="D155" s="2"/>
    </row>
    <row r="156" spans="3:4" ht="15.75" customHeight="1">
      <c r="C156" s="1"/>
      <c r="D156" s="2"/>
    </row>
    <row r="157" spans="3:4" ht="15.75" customHeight="1">
      <c r="C157" s="1"/>
      <c r="D157" s="2"/>
    </row>
    <row r="158" spans="3:4" ht="15.75" customHeight="1">
      <c r="C158" s="1"/>
      <c r="D158" s="2"/>
    </row>
    <row r="159" spans="3:4" ht="15.75" customHeight="1">
      <c r="C159" s="1"/>
      <c r="D159" s="2"/>
    </row>
    <row r="160" spans="3:4" ht="15.75" customHeight="1">
      <c r="C160" s="1"/>
      <c r="D160" s="2"/>
    </row>
    <row r="161" spans="3:4" ht="15.75" customHeight="1">
      <c r="C161" s="1"/>
      <c r="D161" s="2"/>
    </row>
    <row r="162" spans="3:4" ht="15.75" customHeight="1">
      <c r="C162" s="1"/>
      <c r="D162" s="2"/>
    </row>
    <row r="163" spans="3:4" ht="15.75" customHeight="1">
      <c r="C163" s="1"/>
      <c r="D163" s="2"/>
    </row>
    <row r="164" spans="3:4" ht="15.75" customHeight="1">
      <c r="C164" s="1"/>
      <c r="D164" s="2"/>
    </row>
    <row r="165" spans="3:4" ht="15.75" customHeight="1">
      <c r="C165" s="1"/>
      <c r="D165" s="2"/>
    </row>
    <row r="166" spans="3:4" ht="15.75" customHeight="1">
      <c r="C166" s="1"/>
      <c r="D166" s="2"/>
    </row>
    <row r="167" spans="3:4" ht="15.75" customHeight="1">
      <c r="C167" s="1"/>
      <c r="D167" s="2"/>
    </row>
    <row r="168" spans="3:4" ht="15.75" customHeight="1">
      <c r="C168" s="1"/>
      <c r="D168" s="2"/>
    </row>
    <row r="169" spans="3:4" ht="15.75" customHeight="1">
      <c r="C169" s="1"/>
      <c r="D169" s="2"/>
    </row>
    <row r="170" spans="3:4" ht="15.75" customHeight="1">
      <c r="C170" s="1"/>
      <c r="D170" s="2"/>
    </row>
    <row r="171" spans="3:4" ht="15.75" customHeight="1">
      <c r="C171" s="1"/>
      <c r="D171" s="2"/>
    </row>
    <row r="172" spans="3:4" ht="15.75" customHeight="1">
      <c r="C172" s="1"/>
      <c r="D172" s="2"/>
    </row>
    <row r="173" spans="3:4" ht="15.75" customHeight="1">
      <c r="C173" s="1"/>
      <c r="D173" s="2"/>
    </row>
    <row r="174" spans="3:4" ht="15.75" customHeight="1">
      <c r="C174" s="1"/>
      <c r="D174" s="2"/>
    </row>
    <row r="175" spans="3:4" ht="15.75" customHeight="1">
      <c r="C175" s="1"/>
      <c r="D175" s="2"/>
    </row>
    <row r="176" spans="3:4" ht="15.75" customHeight="1">
      <c r="C176" s="1"/>
      <c r="D176" s="2"/>
    </row>
    <row r="177" spans="3:4" ht="15.75" customHeight="1">
      <c r="C177" s="1"/>
      <c r="D177" s="2"/>
    </row>
    <row r="178" spans="3:4" ht="15.75" customHeight="1">
      <c r="C178" s="1"/>
      <c r="D178" s="2"/>
    </row>
    <row r="179" spans="3:4" ht="15.75" customHeight="1">
      <c r="C179" s="1"/>
      <c r="D179" s="2"/>
    </row>
    <row r="180" spans="3:4" ht="15.75" customHeight="1">
      <c r="C180" s="1"/>
      <c r="D180" s="2"/>
    </row>
    <row r="181" spans="3:4" ht="15.75" customHeight="1">
      <c r="C181" s="1"/>
      <c r="D181" s="2"/>
    </row>
    <row r="182" spans="3:4" ht="15.75" customHeight="1">
      <c r="C182" s="1"/>
      <c r="D182" s="2"/>
    </row>
    <row r="183" spans="3:4" ht="15.75" customHeight="1">
      <c r="C183" s="1"/>
      <c r="D183" s="2"/>
    </row>
    <row r="184" spans="3:4" ht="15.75" customHeight="1">
      <c r="C184" s="1"/>
      <c r="D184" s="2"/>
    </row>
    <row r="185" spans="3:4" ht="15.75" customHeight="1">
      <c r="C185" s="1"/>
      <c r="D185" s="2"/>
    </row>
    <row r="186" spans="3:4" ht="15.75" customHeight="1">
      <c r="C186" s="1"/>
      <c r="D186" s="2"/>
    </row>
    <row r="187" spans="3:4" ht="15.75" customHeight="1">
      <c r="C187" s="1"/>
      <c r="D187" s="2"/>
    </row>
    <row r="188" spans="3:4" ht="15.75" customHeight="1">
      <c r="C188" s="1"/>
      <c r="D188" s="2"/>
    </row>
    <row r="189" spans="3:4" ht="15.75" customHeight="1">
      <c r="C189" s="1"/>
      <c r="D189" s="2"/>
    </row>
    <row r="190" spans="3:4" ht="15.75" customHeight="1">
      <c r="C190" s="1"/>
      <c r="D190" s="2"/>
    </row>
    <row r="191" spans="3:4" ht="15.75" customHeight="1">
      <c r="C191" s="1"/>
      <c r="D191" s="2"/>
    </row>
    <row r="192" spans="3:4" ht="15.75" customHeight="1">
      <c r="C192" s="1"/>
      <c r="D192" s="2"/>
    </row>
    <row r="193" spans="3:4" ht="15.75" customHeight="1">
      <c r="C193" s="1"/>
      <c r="D193" s="2"/>
    </row>
    <row r="194" spans="3:4" ht="15.75" customHeight="1">
      <c r="C194" s="1"/>
      <c r="D194" s="2"/>
    </row>
    <row r="195" spans="3:4" ht="15.75" customHeight="1">
      <c r="C195" s="1"/>
      <c r="D195" s="2"/>
    </row>
    <row r="196" spans="3:4" ht="15.75" customHeight="1">
      <c r="C196" s="1"/>
      <c r="D196" s="2"/>
    </row>
    <row r="197" spans="3:4" ht="15.75" customHeight="1">
      <c r="C197" s="1"/>
      <c r="D197" s="2"/>
    </row>
    <row r="198" spans="3:4" ht="15.75" customHeight="1">
      <c r="C198" s="1"/>
      <c r="D198" s="2"/>
    </row>
    <row r="199" spans="3:4" ht="15.75" customHeight="1">
      <c r="C199" s="1"/>
      <c r="D199" s="2"/>
    </row>
    <row r="200" spans="3:4" ht="15.75" customHeight="1">
      <c r="C200" s="1"/>
      <c r="D200" s="2"/>
    </row>
    <row r="201" spans="3:4" ht="15.75" customHeight="1">
      <c r="C201" s="1"/>
      <c r="D201" s="2"/>
    </row>
    <row r="202" spans="3:4" ht="15.75" customHeight="1">
      <c r="C202" s="1"/>
      <c r="D202" s="2"/>
    </row>
    <row r="203" spans="3:4" ht="15.75" customHeight="1">
      <c r="C203" s="1"/>
      <c r="D203" s="2"/>
    </row>
    <row r="204" spans="3:4" ht="15.75" customHeight="1">
      <c r="C204" s="1"/>
      <c r="D204" s="2"/>
    </row>
    <row r="205" spans="3:4" ht="15.75" customHeight="1">
      <c r="C205" s="1"/>
      <c r="D205" s="2"/>
    </row>
    <row r="206" spans="3:4" ht="15.75" customHeight="1">
      <c r="C206" s="1"/>
      <c r="D206" s="2"/>
    </row>
    <row r="207" spans="3:4" ht="15.75" customHeight="1">
      <c r="C207" s="1"/>
      <c r="D207" s="2"/>
    </row>
    <row r="208" spans="3:4" ht="15.75" customHeight="1">
      <c r="C208" s="1"/>
      <c r="D208" s="2"/>
    </row>
    <row r="209" spans="3:4" ht="15.75" customHeight="1">
      <c r="C209" s="1"/>
      <c r="D209" s="2"/>
    </row>
    <row r="210" spans="3:4" ht="15.75" customHeight="1">
      <c r="C210" s="1"/>
      <c r="D210" s="2"/>
    </row>
    <row r="211" spans="3:4" ht="15.75" customHeight="1">
      <c r="C211" s="1"/>
      <c r="D211" s="2"/>
    </row>
    <row r="212" spans="3:4" ht="15.75" customHeight="1">
      <c r="C212" s="1"/>
      <c r="D212" s="2"/>
    </row>
    <row r="213" spans="3:4" ht="15.75" customHeight="1">
      <c r="C213" s="1"/>
      <c r="D213" s="2"/>
    </row>
    <row r="214" spans="3:4" ht="15.75" customHeight="1">
      <c r="C214" s="1"/>
      <c r="D214" s="2"/>
    </row>
    <row r="215" spans="3:4" ht="15.75" customHeight="1">
      <c r="C215" s="1"/>
      <c r="D215" s="2"/>
    </row>
    <row r="216" spans="3:4" ht="15.75" customHeight="1">
      <c r="C216" s="1"/>
      <c r="D216" s="2"/>
    </row>
    <row r="217" spans="3:4" ht="15.75" customHeight="1">
      <c r="C217" s="1"/>
      <c r="D217" s="2"/>
    </row>
    <row r="218" spans="3:4" ht="15.75" customHeight="1">
      <c r="C218" s="1"/>
      <c r="D218" s="2"/>
    </row>
    <row r="219" spans="3:4" ht="15.75" customHeight="1">
      <c r="C219" s="1"/>
      <c r="D219" s="2"/>
    </row>
    <row r="220" spans="3:4" ht="15.75" customHeight="1">
      <c r="C220" s="1"/>
      <c r="D220" s="2"/>
    </row>
    <row r="221" spans="3:4" ht="15.75" customHeight="1">
      <c r="C221" s="1"/>
      <c r="D221" s="2"/>
    </row>
    <row r="222" spans="3:4" ht="15.75" customHeight="1">
      <c r="C222" s="1"/>
      <c r="D222" s="2"/>
    </row>
    <row r="223" spans="3:4" ht="15.75" customHeight="1">
      <c r="C223" s="1"/>
      <c r="D223" s="2"/>
    </row>
    <row r="224" spans="3:4" ht="15.75" customHeight="1">
      <c r="C224" s="1"/>
      <c r="D224" s="2"/>
    </row>
    <row r="225" spans="3:4" ht="15.75" customHeight="1">
      <c r="C225" s="1"/>
      <c r="D225" s="2"/>
    </row>
    <row r="226" spans="3:4" ht="15.75" customHeight="1">
      <c r="C226" s="1"/>
      <c r="D226" s="2"/>
    </row>
    <row r="227" spans="3:4" ht="15.75" customHeight="1">
      <c r="C227" s="1"/>
      <c r="D227" s="2"/>
    </row>
    <row r="228" spans="3:4" ht="15.75" customHeight="1">
      <c r="C228" s="1"/>
      <c r="D228" s="2"/>
    </row>
    <row r="229" spans="3:4" ht="15.75" customHeight="1">
      <c r="C229" s="1"/>
      <c r="D229" s="2"/>
    </row>
    <row r="230" spans="3:4" ht="15.75" customHeight="1">
      <c r="C230" s="1"/>
      <c r="D230" s="2"/>
    </row>
    <row r="231" spans="3:4" ht="15.75" customHeight="1">
      <c r="C231" s="1"/>
      <c r="D231" s="2"/>
    </row>
    <row r="232" spans="3:4" ht="15.75" customHeight="1">
      <c r="C232" s="1"/>
      <c r="D232" s="2"/>
    </row>
    <row r="233" spans="3:4" ht="15.75" customHeight="1">
      <c r="C233" s="1"/>
      <c r="D233" s="2"/>
    </row>
    <row r="234" spans="3:4" ht="15.75" customHeight="1">
      <c r="C234" s="1"/>
      <c r="D234" s="2"/>
    </row>
    <row r="235" spans="3:4" ht="15.75" customHeight="1">
      <c r="C235" s="1"/>
      <c r="D235" s="2"/>
    </row>
    <row r="236" spans="3:4" ht="15.75" customHeight="1">
      <c r="C236" s="1"/>
      <c r="D236" s="2"/>
    </row>
    <row r="237" spans="3:4" ht="15.75" customHeight="1">
      <c r="C237" s="1"/>
      <c r="D237" s="2"/>
    </row>
    <row r="238" spans="3:4" ht="15.75" customHeight="1">
      <c r="C238" s="1"/>
      <c r="D238" s="2"/>
    </row>
    <row r="239" spans="3:4" ht="15.75" customHeight="1">
      <c r="C239" s="1"/>
      <c r="D239" s="2"/>
    </row>
    <row r="240" spans="3:4" ht="15.75" customHeight="1">
      <c r="C240" s="1"/>
      <c r="D240" s="2"/>
    </row>
    <row r="241" spans="3:4" ht="15.75" customHeight="1">
      <c r="C241" s="1"/>
      <c r="D241" s="2"/>
    </row>
    <row r="242" spans="3:4" ht="15.75" customHeight="1">
      <c r="C242" s="1"/>
      <c r="D242" s="2"/>
    </row>
    <row r="243" spans="3:4" ht="15.75" customHeight="1">
      <c r="C243" s="1"/>
      <c r="D243" s="2"/>
    </row>
    <row r="244" spans="3:4" ht="15.75" customHeight="1">
      <c r="C244" s="1"/>
      <c r="D244" s="2"/>
    </row>
    <row r="245" spans="3:4" ht="15.75" customHeight="1">
      <c r="C245" s="1"/>
      <c r="D245" s="2"/>
    </row>
    <row r="246" spans="3:4" ht="15.75" customHeight="1">
      <c r="C246" s="1"/>
      <c r="D246" s="2"/>
    </row>
    <row r="247" spans="3:4" ht="15.75" customHeight="1">
      <c r="C247" s="1"/>
      <c r="D247" s="2"/>
    </row>
    <row r="248" spans="3:4" ht="15.75" customHeight="1">
      <c r="C248" s="1"/>
      <c r="D248" s="2"/>
    </row>
    <row r="249" spans="3:4" ht="15.75" customHeight="1">
      <c r="C249" s="1"/>
      <c r="D249" s="2"/>
    </row>
    <row r="250" spans="3:4" ht="15.75" customHeight="1">
      <c r="C250" s="1"/>
      <c r="D250" s="2"/>
    </row>
    <row r="251" spans="3:4" ht="15.75" customHeight="1">
      <c r="C251" s="1"/>
      <c r="D251" s="2"/>
    </row>
    <row r="252" spans="3:4" ht="15.75" customHeight="1">
      <c r="C252" s="1"/>
      <c r="D252" s="2"/>
    </row>
    <row r="253" spans="3:4" ht="15.75" customHeight="1">
      <c r="C253" s="1"/>
      <c r="D253" s="2"/>
    </row>
    <row r="254" spans="3:4" ht="15.75" customHeight="1">
      <c r="C254" s="1"/>
      <c r="D254" s="2"/>
    </row>
    <row r="255" spans="3:4" ht="15.75" customHeight="1">
      <c r="C255" s="1"/>
      <c r="D255" s="2"/>
    </row>
    <row r="256" spans="3:4" ht="15.75" customHeight="1">
      <c r="C256" s="1"/>
      <c r="D256" s="2"/>
    </row>
    <row r="257" spans="3:4" ht="15.75" customHeight="1">
      <c r="C257" s="1"/>
      <c r="D257" s="2"/>
    </row>
    <row r="258" spans="3:4" ht="15.75" customHeight="1">
      <c r="C258" s="1"/>
      <c r="D258" s="2"/>
    </row>
    <row r="259" spans="3:4" ht="15.75" customHeight="1">
      <c r="C259" s="1"/>
      <c r="D259" s="2"/>
    </row>
    <row r="260" spans="3:4" ht="15.75" customHeight="1">
      <c r="C260" s="1"/>
      <c r="D260" s="2"/>
    </row>
    <row r="261" spans="3:4" ht="15.75" customHeight="1">
      <c r="C261" s="1"/>
      <c r="D261" s="2"/>
    </row>
    <row r="262" spans="3:4" ht="15.75" customHeight="1">
      <c r="C262" s="1"/>
      <c r="D262" s="2"/>
    </row>
    <row r="263" spans="3:4" ht="15.75" customHeight="1">
      <c r="C263" s="1"/>
      <c r="D263" s="2"/>
    </row>
    <row r="264" spans="3:4" ht="15.75" customHeight="1">
      <c r="C264" s="1"/>
      <c r="D264" s="2"/>
    </row>
    <row r="265" spans="3:4" ht="15.75" customHeight="1">
      <c r="C265" s="1"/>
      <c r="D265" s="2"/>
    </row>
    <row r="266" spans="3:4" ht="15.75" customHeight="1">
      <c r="C266" s="1"/>
      <c r="D266" s="2"/>
    </row>
    <row r="267" spans="3:4" ht="15.75" customHeight="1">
      <c r="C267" s="1"/>
      <c r="D267" s="2"/>
    </row>
    <row r="268" spans="3:4" ht="15.75" customHeight="1">
      <c r="C268" s="1"/>
      <c r="D268" s="2"/>
    </row>
    <row r="269" spans="3:4" ht="15.75" customHeight="1">
      <c r="C269" s="1"/>
      <c r="D269" s="2"/>
    </row>
    <row r="270" spans="3:4" ht="15.75" customHeight="1">
      <c r="C270" s="1"/>
      <c r="D270" s="2"/>
    </row>
    <row r="271" spans="3:4" ht="15.75" customHeight="1">
      <c r="C271" s="1"/>
      <c r="D271" s="2"/>
    </row>
    <row r="272" spans="3:4" ht="15.75" customHeight="1">
      <c r="C272" s="1"/>
      <c r="D272" s="2"/>
    </row>
    <row r="273" spans="3:4" ht="15.75" customHeight="1">
      <c r="C273" s="1"/>
      <c r="D273" s="2"/>
    </row>
    <row r="274" spans="3:4" ht="15.75" customHeight="1">
      <c r="C274" s="1"/>
      <c r="D274" s="2"/>
    </row>
    <row r="275" spans="3:4" ht="15.75" customHeight="1">
      <c r="C275" s="1"/>
      <c r="D275" s="2"/>
    </row>
    <row r="276" spans="3:4" ht="15.75" customHeight="1">
      <c r="C276" s="1"/>
      <c r="D276" s="2"/>
    </row>
    <row r="277" spans="3:4" ht="15.75" customHeight="1">
      <c r="C277" s="1"/>
      <c r="D277" s="2"/>
    </row>
    <row r="278" spans="3:4" ht="15.75" customHeight="1">
      <c r="C278" s="1"/>
      <c r="D278" s="2"/>
    </row>
    <row r="279" spans="3:4" ht="15.75" customHeight="1">
      <c r="C279" s="1"/>
      <c r="D279" s="2"/>
    </row>
    <row r="280" spans="3:4" ht="15.75" customHeight="1">
      <c r="C280" s="1"/>
      <c r="D280" s="2"/>
    </row>
    <row r="281" spans="3:4" ht="15.75" customHeight="1">
      <c r="C281" s="1"/>
      <c r="D281" s="2"/>
    </row>
    <row r="282" spans="3:4" ht="15.75" customHeight="1">
      <c r="C282" s="1"/>
      <c r="D282" s="2"/>
    </row>
    <row r="283" spans="3:4" ht="15.75" customHeight="1">
      <c r="C283" s="1"/>
      <c r="D283" s="2"/>
    </row>
    <row r="284" spans="3:4" ht="15.75" customHeight="1">
      <c r="C284" s="1"/>
      <c r="D284" s="2"/>
    </row>
    <row r="285" spans="3:4" ht="15.75" customHeight="1">
      <c r="C285" s="1"/>
      <c r="D285" s="2"/>
    </row>
    <row r="286" spans="3:4" ht="15.75" customHeight="1">
      <c r="C286" s="1"/>
      <c r="D286" s="2"/>
    </row>
    <row r="287" spans="3:4" ht="15.75" customHeight="1">
      <c r="C287" s="1"/>
      <c r="D287" s="2"/>
    </row>
    <row r="288" spans="3:4" ht="15.75" customHeight="1">
      <c r="C288" s="1"/>
      <c r="D288" s="2"/>
    </row>
    <row r="289" spans="3:4" ht="15.75" customHeight="1">
      <c r="C289" s="1"/>
      <c r="D289" s="2"/>
    </row>
    <row r="290" spans="3:4" ht="15.75" customHeight="1">
      <c r="C290" s="1"/>
      <c r="D290" s="2"/>
    </row>
    <row r="291" spans="3:4" ht="15.75" customHeight="1">
      <c r="C291" s="1"/>
      <c r="D291" s="2"/>
    </row>
    <row r="292" spans="3:4" ht="15.75" customHeight="1">
      <c r="C292" s="1"/>
      <c r="D292" s="2"/>
    </row>
    <row r="293" spans="3:4" ht="15.75" customHeight="1">
      <c r="C293" s="1"/>
      <c r="D293" s="2"/>
    </row>
    <row r="294" spans="3:4" ht="15.75" customHeight="1">
      <c r="C294" s="1"/>
      <c r="D294" s="2"/>
    </row>
    <row r="295" spans="3:4" ht="15.75" customHeight="1">
      <c r="C295" s="1"/>
      <c r="D295" s="2"/>
    </row>
    <row r="296" spans="3:4" ht="15.75" customHeight="1">
      <c r="C296" s="1"/>
      <c r="D296" s="2"/>
    </row>
    <row r="297" spans="3:4" ht="15.75" customHeight="1">
      <c r="C297" s="1"/>
      <c r="D297" s="2"/>
    </row>
    <row r="298" spans="3:4" ht="15.75" customHeight="1">
      <c r="C298" s="1"/>
      <c r="D298" s="2"/>
    </row>
    <row r="299" spans="3:4" ht="15.75" customHeight="1">
      <c r="C299" s="1"/>
      <c r="D299" s="2"/>
    </row>
    <row r="300" spans="3:4" ht="15.75" customHeight="1">
      <c r="C300" s="1"/>
      <c r="D300" s="2"/>
    </row>
    <row r="301" spans="3:4" ht="15.75" customHeight="1">
      <c r="C301" s="1"/>
      <c r="D301" s="2"/>
    </row>
    <row r="302" spans="3:4" ht="15.75" customHeight="1">
      <c r="C302" s="1"/>
      <c r="D302" s="2"/>
    </row>
    <row r="303" spans="3:4" ht="15.75" customHeight="1">
      <c r="C303" s="1"/>
      <c r="D303" s="2"/>
    </row>
    <row r="304" spans="3:4" ht="15.75" customHeight="1">
      <c r="C304" s="1"/>
      <c r="D304" s="2"/>
    </row>
    <row r="305" spans="3:4" ht="15.75" customHeight="1">
      <c r="C305" s="1"/>
      <c r="D305" s="2"/>
    </row>
    <row r="306" spans="3:4" ht="15.75" customHeight="1">
      <c r="C306" s="1"/>
      <c r="D306" s="2"/>
    </row>
    <row r="307" spans="3:4" ht="15.75" customHeight="1">
      <c r="C307" s="1"/>
      <c r="D307" s="2"/>
    </row>
    <row r="308" spans="3:4" ht="15.75" customHeight="1">
      <c r="C308" s="1"/>
      <c r="D308" s="2"/>
    </row>
    <row r="309" spans="3:4" ht="15.75" customHeight="1">
      <c r="C309" s="1"/>
      <c r="D309" s="2"/>
    </row>
    <row r="310" spans="3:4" ht="15.75" customHeight="1">
      <c r="C310" s="1"/>
      <c r="D310" s="2"/>
    </row>
    <row r="311" spans="3:4" ht="15.75" customHeight="1">
      <c r="C311" s="1"/>
      <c r="D311" s="2"/>
    </row>
    <row r="312" spans="3:4" ht="15.75" customHeight="1">
      <c r="C312" s="1"/>
      <c r="D312" s="2"/>
    </row>
    <row r="313" spans="3:4" ht="15.75" customHeight="1">
      <c r="C313" s="1"/>
      <c r="D313" s="2"/>
    </row>
    <row r="314" spans="3:4" ht="15.75" customHeight="1">
      <c r="C314" s="1"/>
      <c r="D314" s="2"/>
    </row>
    <row r="315" spans="3:4" ht="15.75" customHeight="1">
      <c r="C315" s="1"/>
      <c r="D315" s="2"/>
    </row>
    <row r="316" spans="3:4" ht="15.75" customHeight="1">
      <c r="C316" s="1"/>
      <c r="D316" s="2"/>
    </row>
    <row r="317" spans="3:4" ht="15.75" customHeight="1">
      <c r="C317" s="1"/>
      <c r="D317" s="2"/>
    </row>
    <row r="318" spans="3:4" ht="15.75" customHeight="1">
      <c r="C318" s="1"/>
      <c r="D318" s="2"/>
    </row>
    <row r="319" spans="3:4" ht="15.75" customHeight="1">
      <c r="C319" s="1"/>
      <c r="D319" s="2"/>
    </row>
    <row r="320" spans="3:4" ht="15.75" customHeight="1">
      <c r="C320" s="1"/>
      <c r="D320" s="2"/>
    </row>
    <row r="321" spans="3:4" ht="15.75" customHeight="1">
      <c r="C321" s="1"/>
      <c r="D321" s="2"/>
    </row>
    <row r="322" spans="3:4" ht="15.75" customHeight="1">
      <c r="C322" s="1"/>
      <c r="D322" s="2"/>
    </row>
    <row r="323" spans="3:4" ht="15.75" customHeight="1">
      <c r="C323" s="1"/>
      <c r="D323" s="2"/>
    </row>
    <row r="324" spans="3:4" ht="15.75" customHeight="1">
      <c r="C324" s="1"/>
      <c r="D324" s="2"/>
    </row>
    <row r="325" spans="3:4" ht="15.75" customHeight="1">
      <c r="C325" s="1"/>
      <c r="D325" s="2"/>
    </row>
    <row r="326" spans="3:4" ht="15.75" customHeight="1">
      <c r="C326" s="1"/>
      <c r="D326" s="2"/>
    </row>
    <row r="327" spans="3:4" ht="15.75" customHeight="1">
      <c r="C327" s="1"/>
      <c r="D327" s="2"/>
    </row>
    <row r="328" spans="3:4" ht="15.75" customHeight="1">
      <c r="C328" s="1"/>
      <c r="D328" s="2"/>
    </row>
    <row r="329" spans="3:4" ht="15.75" customHeight="1">
      <c r="C329" s="1"/>
      <c r="D329" s="2"/>
    </row>
    <row r="330" spans="3:4" ht="15.75" customHeight="1">
      <c r="C330" s="1"/>
      <c r="D330" s="2"/>
    </row>
    <row r="331" spans="3:4" ht="15.75" customHeight="1">
      <c r="C331" s="1"/>
      <c r="D331" s="2"/>
    </row>
    <row r="332" spans="3:4" ht="15.75" customHeight="1">
      <c r="C332" s="1"/>
      <c r="D332" s="2"/>
    </row>
    <row r="333" spans="3:4" ht="15.75" customHeight="1">
      <c r="C333" s="1"/>
      <c r="D333" s="2"/>
    </row>
    <row r="334" spans="3:4" ht="15.75" customHeight="1">
      <c r="C334" s="1"/>
      <c r="D334" s="2"/>
    </row>
    <row r="335" spans="3:4" ht="15.75" customHeight="1">
      <c r="C335" s="1"/>
      <c r="D335" s="2"/>
    </row>
    <row r="336" spans="3:4" ht="15.75" customHeight="1">
      <c r="C336" s="1"/>
      <c r="D336" s="2"/>
    </row>
    <row r="337" spans="3:4" ht="15.75" customHeight="1">
      <c r="C337" s="1"/>
      <c r="D337" s="2"/>
    </row>
    <row r="338" spans="3:4" ht="15.75" customHeight="1">
      <c r="C338" s="1"/>
      <c r="D338" s="2"/>
    </row>
    <row r="339" spans="3:4" ht="15.75" customHeight="1">
      <c r="C339" s="1"/>
      <c r="D339" s="2"/>
    </row>
    <row r="340" spans="3:4" ht="15.75" customHeight="1">
      <c r="C340" s="1"/>
      <c r="D340" s="2"/>
    </row>
    <row r="341" spans="3:4" ht="15.75" customHeight="1">
      <c r="C341" s="1"/>
      <c r="D341" s="2"/>
    </row>
    <row r="342" spans="3:4" ht="15.75" customHeight="1">
      <c r="C342" s="1"/>
      <c r="D342" s="2"/>
    </row>
    <row r="343" spans="3:4" ht="15.75" customHeight="1">
      <c r="C343" s="1"/>
      <c r="D343" s="2"/>
    </row>
    <row r="344" spans="3:4" ht="15.75" customHeight="1">
      <c r="C344" s="1"/>
      <c r="D344" s="2"/>
    </row>
    <row r="345" spans="3:4" ht="15.75" customHeight="1">
      <c r="C345" s="1"/>
      <c r="D345" s="2"/>
    </row>
    <row r="346" spans="3:4" ht="15.75" customHeight="1">
      <c r="C346" s="1"/>
      <c r="D346" s="2"/>
    </row>
    <row r="347" spans="3:4" ht="15.75" customHeight="1">
      <c r="C347" s="1"/>
      <c r="D347" s="2"/>
    </row>
    <row r="348" spans="3:4" ht="15.75" customHeight="1">
      <c r="C348" s="1"/>
      <c r="D348" s="2"/>
    </row>
    <row r="349" spans="3:4" ht="15.75" customHeight="1">
      <c r="C349" s="1"/>
      <c r="D349" s="2"/>
    </row>
    <row r="350" spans="3:4" ht="15.75" customHeight="1">
      <c r="C350" s="1"/>
      <c r="D350" s="2"/>
    </row>
    <row r="351" spans="3:4" ht="15.75" customHeight="1">
      <c r="C351" s="1"/>
      <c r="D351" s="2"/>
    </row>
    <row r="352" spans="3:4" ht="15.75" customHeight="1">
      <c r="C352" s="1"/>
      <c r="D352" s="2"/>
    </row>
    <row r="353" spans="3:4" ht="15.75" customHeight="1">
      <c r="C353" s="1"/>
      <c r="D353" s="2"/>
    </row>
    <row r="354" spans="3:4" ht="15.75" customHeight="1">
      <c r="C354" s="1"/>
      <c r="D354" s="2"/>
    </row>
    <row r="355" spans="3:4" ht="15.75" customHeight="1">
      <c r="C355" s="1"/>
      <c r="D355" s="2"/>
    </row>
    <row r="356" spans="3:4" ht="15.75" customHeight="1">
      <c r="C356" s="1"/>
      <c r="D356" s="2"/>
    </row>
    <row r="357" spans="3:4" ht="15.75" customHeight="1">
      <c r="C357" s="1"/>
      <c r="D357" s="2"/>
    </row>
    <row r="358" spans="3:4" ht="15.75" customHeight="1">
      <c r="C358" s="1"/>
      <c r="D358" s="2"/>
    </row>
    <row r="359" spans="3:4" ht="15.75" customHeight="1">
      <c r="C359" s="1"/>
      <c r="D359" s="2"/>
    </row>
    <row r="360" spans="3:4" ht="15.75" customHeight="1">
      <c r="C360" s="1"/>
      <c r="D360" s="2"/>
    </row>
    <row r="361" spans="3:4" ht="15.75" customHeight="1">
      <c r="C361" s="1"/>
      <c r="D361" s="2"/>
    </row>
    <row r="362" spans="3:4" ht="15.75" customHeight="1">
      <c r="C362" s="1"/>
      <c r="D362" s="2"/>
    </row>
    <row r="363" spans="3:4" ht="15.75" customHeight="1">
      <c r="C363" s="1"/>
      <c r="D363" s="2"/>
    </row>
    <row r="364" spans="3:4" ht="15.75" customHeight="1">
      <c r="C364" s="1"/>
      <c r="D364" s="2"/>
    </row>
    <row r="365" spans="3:4" ht="15.75" customHeight="1">
      <c r="C365" s="1"/>
      <c r="D365" s="2"/>
    </row>
    <row r="366" spans="3:4" ht="15.75" customHeight="1">
      <c r="C366" s="1"/>
      <c r="D366" s="2"/>
    </row>
    <row r="367" spans="3:4" ht="15.75" customHeight="1">
      <c r="C367" s="1"/>
      <c r="D367" s="2"/>
    </row>
    <row r="368" spans="3:4" ht="15.75" customHeight="1">
      <c r="C368" s="1"/>
      <c r="D368" s="2"/>
    </row>
    <row r="369" spans="3:4" ht="15.75" customHeight="1">
      <c r="C369" s="1"/>
      <c r="D369" s="2"/>
    </row>
    <row r="370" spans="3:4" ht="15.75" customHeight="1">
      <c r="C370" s="1"/>
      <c r="D370" s="2"/>
    </row>
    <row r="371" spans="3:4" ht="15.75" customHeight="1">
      <c r="C371" s="1"/>
      <c r="D371" s="2"/>
    </row>
    <row r="372" spans="3:4" ht="15.75" customHeight="1">
      <c r="C372" s="1"/>
      <c r="D372" s="2"/>
    </row>
    <row r="373" spans="3:4" ht="15.75" customHeight="1">
      <c r="C373" s="1"/>
      <c r="D373" s="2"/>
    </row>
    <row r="374" spans="3:4" ht="15.75" customHeight="1">
      <c r="C374" s="1"/>
      <c r="D374" s="2"/>
    </row>
    <row r="375" spans="3:4" ht="15.75" customHeight="1">
      <c r="C375" s="1"/>
      <c r="D375" s="2"/>
    </row>
    <row r="376" spans="3:4" ht="15.75" customHeight="1">
      <c r="C376" s="1"/>
      <c r="D376" s="2"/>
    </row>
    <row r="377" spans="3:4" ht="15.75" customHeight="1">
      <c r="C377" s="1"/>
      <c r="D377" s="2"/>
    </row>
    <row r="378" spans="3:4" ht="15.75" customHeight="1">
      <c r="C378" s="1"/>
      <c r="D378" s="2"/>
    </row>
    <row r="379" spans="3:4" ht="15.75" customHeight="1">
      <c r="C379" s="1"/>
      <c r="D379" s="2"/>
    </row>
    <row r="380" spans="3:4" ht="15.75" customHeight="1">
      <c r="C380" s="1"/>
      <c r="D380" s="2"/>
    </row>
    <row r="381" spans="3:4" ht="15.75" customHeight="1">
      <c r="C381" s="1"/>
      <c r="D381" s="2"/>
    </row>
    <row r="382" spans="3:4" ht="15.75" customHeight="1">
      <c r="C382" s="1"/>
      <c r="D382" s="2"/>
    </row>
    <row r="383" spans="3:4" ht="15.75" customHeight="1">
      <c r="C383" s="1"/>
      <c r="D383" s="2"/>
    </row>
    <row r="384" spans="3:4" ht="15.75" customHeight="1">
      <c r="C384" s="1"/>
      <c r="D384" s="2"/>
    </row>
    <row r="385" spans="3:4" ht="15.75" customHeight="1">
      <c r="C385" s="1"/>
      <c r="D385" s="2"/>
    </row>
    <row r="386" spans="3:4" ht="15.75" customHeight="1">
      <c r="C386" s="1"/>
      <c r="D386" s="2"/>
    </row>
    <row r="387" spans="3:4" ht="15.75" customHeight="1">
      <c r="C387" s="1"/>
      <c r="D387" s="2"/>
    </row>
    <row r="388" spans="3:4" ht="15.75" customHeight="1">
      <c r="C388" s="1"/>
      <c r="D388" s="2"/>
    </row>
    <row r="389" spans="3:4" ht="15.75" customHeight="1">
      <c r="C389" s="1"/>
      <c r="D389" s="2"/>
    </row>
    <row r="390" spans="3:4" ht="15.75" customHeight="1">
      <c r="C390" s="1"/>
      <c r="D390" s="2"/>
    </row>
    <row r="391" spans="3:4" ht="15.75" customHeight="1">
      <c r="C391" s="1"/>
      <c r="D391" s="2"/>
    </row>
    <row r="392" spans="3:4" ht="15.75" customHeight="1">
      <c r="C392" s="1"/>
      <c r="D392" s="2"/>
    </row>
    <row r="393" spans="3:4" ht="15.75" customHeight="1">
      <c r="C393" s="1"/>
      <c r="D393" s="2"/>
    </row>
    <row r="394" spans="3:4" ht="15.75" customHeight="1">
      <c r="C394" s="1"/>
      <c r="D394" s="2"/>
    </row>
    <row r="395" spans="3:4" ht="15.75" customHeight="1">
      <c r="C395" s="1"/>
      <c r="D395" s="2"/>
    </row>
    <row r="396" spans="3:4" ht="15.75" customHeight="1">
      <c r="C396" s="1"/>
      <c r="D396" s="2"/>
    </row>
    <row r="397" spans="3:4" ht="15.75" customHeight="1">
      <c r="C397" s="1"/>
      <c r="D397" s="2"/>
    </row>
    <row r="398" spans="3:4" ht="15.75" customHeight="1">
      <c r="C398" s="1"/>
      <c r="D398" s="2"/>
    </row>
    <row r="399" spans="3:4" ht="15.75" customHeight="1">
      <c r="C399" s="1"/>
      <c r="D399" s="2"/>
    </row>
    <row r="400" spans="3:4" ht="15.75" customHeight="1">
      <c r="C400" s="1"/>
      <c r="D400" s="2"/>
    </row>
    <row r="401" spans="3:4" ht="15.75" customHeight="1">
      <c r="C401" s="1"/>
      <c r="D401" s="2"/>
    </row>
    <row r="402" spans="3:4" ht="15.75" customHeight="1">
      <c r="C402" s="1"/>
      <c r="D402" s="2"/>
    </row>
    <row r="403" spans="3:4" ht="15.75" customHeight="1">
      <c r="C403" s="1"/>
      <c r="D403" s="2"/>
    </row>
    <row r="404" spans="3:4" ht="15.75" customHeight="1">
      <c r="C404" s="1"/>
      <c r="D404" s="2"/>
    </row>
    <row r="405" spans="3:4" ht="15.75" customHeight="1">
      <c r="C405" s="1"/>
      <c r="D405" s="2"/>
    </row>
    <row r="406" spans="3:4" ht="15.75" customHeight="1">
      <c r="C406" s="1"/>
      <c r="D406" s="2"/>
    </row>
    <row r="407" spans="3:4" ht="15.75" customHeight="1">
      <c r="C407" s="1"/>
      <c r="D407" s="2"/>
    </row>
    <row r="408" spans="3:4" ht="15.75" customHeight="1">
      <c r="C408" s="1"/>
      <c r="D408" s="2"/>
    </row>
    <row r="409" spans="3:4" ht="15.75" customHeight="1">
      <c r="C409" s="1"/>
      <c r="D409" s="2"/>
    </row>
    <row r="410" spans="3:4" ht="15.75" customHeight="1">
      <c r="C410" s="1"/>
      <c r="D410" s="2"/>
    </row>
    <row r="411" spans="3:4" ht="15.75" customHeight="1">
      <c r="C411" s="1"/>
      <c r="D411" s="2"/>
    </row>
    <row r="412" spans="3:4" ht="15.75" customHeight="1">
      <c r="C412" s="1"/>
      <c r="D412" s="2"/>
    </row>
    <row r="413" spans="3:4" ht="15.75" customHeight="1">
      <c r="C413" s="1"/>
      <c r="D413" s="2"/>
    </row>
    <row r="414" spans="3:4" ht="15.75" customHeight="1">
      <c r="C414" s="1"/>
      <c r="D414" s="2"/>
    </row>
    <row r="415" spans="3:4" ht="15.75" customHeight="1">
      <c r="C415" s="1"/>
      <c r="D415" s="2"/>
    </row>
    <row r="416" spans="3:4" ht="15.75" customHeight="1">
      <c r="C416" s="1"/>
      <c r="D416" s="2"/>
    </row>
    <row r="417" spans="3:4" ht="15.75" customHeight="1">
      <c r="C417" s="1"/>
      <c r="D417" s="2"/>
    </row>
    <row r="418" spans="3:4" ht="15.75" customHeight="1">
      <c r="C418" s="1"/>
      <c r="D418" s="2"/>
    </row>
    <row r="419" spans="3:4" ht="15.75" customHeight="1">
      <c r="C419" s="1"/>
      <c r="D419" s="2"/>
    </row>
    <row r="420" spans="3:4" ht="15.75" customHeight="1">
      <c r="C420" s="1"/>
      <c r="D420" s="2"/>
    </row>
    <row r="421" spans="3:4" ht="15.75" customHeight="1">
      <c r="C421" s="1"/>
      <c r="D421" s="2"/>
    </row>
    <row r="422" spans="3:4" ht="15.75" customHeight="1">
      <c r="C422" s="1"/>
      <c r="D422" s="2"/>
    </row>
    <row r="423" spans="3:4" ht="15.75" customHeight="1">
      <c r="C423" s="1"/>
      <c r="D423" s="2"/>
    </row>
    <row r="424" spans="3:4" ht="15.75" customHeight="1">
      <c r="C424" s="1"/>
      <c r="D424" s="2"/>
    </row>
    <row r="425" spans="3:4" ht="15.75" customHeight="1">
      <c r="C425" s="1"/>
      <c r="D425" s="2"/>
    </row>
    <row r="426" spans="3:4" ht="15.75" customHeight="1">
      <c r="C426" s="1"/>
      <c r="D426" s="2"/>
    </row>
    <row r="427" spans="3:4" ht="15.75" customHeight="1">
      <c r="C427" s="1"/>
      <c r="D427" s="2"/>
    </row>
    <row r="428" spans="3:4" ht="15.75" customHeight="1">
      <c r="C428" s="1"/>
      <c r="D428" s="2"/>
    </row>
    <row r="429" spans="3:4" ht="15.75" customHeight="1">
      <c r="C429" s="1"/>
      <c r="D429" s="2"/>
    </row>
    <row r="430" spans="3:4" ht="15.75" customHeight="1">
      <c r="C430" s="1"/>
      <c r="D430" s="2"/>
    </row>
    <row r="431" spans="3:4" ht="15.75" customHeight="1">
      <c r="C431" s="1"/>
      <c r="D431" s="2"/>
    </row>
    <row r="432" spans="3:4" ht="15.75" customHeight="1">
      <c r="C432" s="1"/>
      <c r="D432" s="2"/>
    </row>
    <row r="433" spans="3:4" ht="15.75" customHeight="1">
      <c r="C433" s="1"/>
      <c r="D433" s="2"/>
    </row>
    <row r="434" spans="3:4" ht="15.75" customHeight="1">
      <c r="C434" s="1"/>
      <c r="D434" s="2"/>
    </row>
    <row r="435" spans="3:4" ht="15.75" customHeight="1">
      <c r="C435" s="1"/>
      <c r="D435" s="2"/>
    </row>
    <row r="436" spans="3:4" ht="15.75" customHeight="1">
      <c r="C436" s="1"/>
      <c r="D436" s="2"/>
    </row>
    <row r="437" spans="3:4" ht="15.75" customHeight="1">
      <c r="C437" s="1"/>
      <c r="D437" s="2"/>
    </row>
    <row r="438" spans="3:4" ht="15.75" customHeight="1">
      <c r="C438" s="1"/>
      <c r="D438" s="2"/>
    </row>
    <row r="439" spans="3:4" ht="15.75" customHeight="1">
      <c r="C439" s="1"/>
      <c r="D439" s="2"/>
    </row>
    <row r="440" spans="3:4" ht="15.75" customHeight="1">
      <c r="C440" s="1"/>
      <c r="D440" s="2"/>
    </row>
    <row r="441" spans="3:4" ht="15.75" customHeight="1">
      <c r="C441" s="1"/>
      <c r="D441" s="2"/>
    </row>
    <row r="442" spans="3:4" ht="15.75" customHeight="1">
      <c r="C442" s="1"/>
      <c r="D442" s="2"/>
    </row>
    <row r="443" spans="3:4" ht="15.75" customHeight="1">
      <c r="C443" s="1"/>
      <c r="D443" s="2"/>
    </row>
    <row r="444" spans="3:4" ht="15.75" customHeight="1">
      <c r="C444" s="1"/>
      <c r="D444" s="2"/>
    </row>
    <row r="445" spans="3:4" ht="15.75" customHeight="1">
      <c r="C445" s="1"/>
      <c r="D445" s="2"/>
    </row>
    <row r="446" spans="3:4" ht="15.75" customHeight="1">
      <c r="C446" s="1"/>
      <c r="D446" s="2"/>
    </row>
    <row r="447" spans="3:4" ht="15.75" customHeight="1">
      <c r="C447" s="1"/>
      <c r="D447" s="2"/>
    </row>
    <row r="448" spans="3:4" ht="15.75" customHeight="1">
      <c r="C448" s="1"/>
      <c r="D448" s="2"/>
    </row>
    <row r="449" spans="3:4" ht="15.75" customHeight="1">
      <c r="C449" s="1"/>
      <c r="D449" s="2"/>
    </row>
    <row r="450" spans="3:4" ht="15.75" customHeight="1">
      <c r="C450" s="1"/>
      <c r="D450" s="2"/>
    </row>
    <row r="451" spans="3:4" ht="15.75" customHeight="1">
      <c r="C451" s="1"/>
      <c r="D451" s="2"/>
    </row>
    <row r="452" spans="3:4" ht="15.75" customHeight="1">
      <c r="C452" s="1"/>
      <c r="D452" s="2"/>
    </row>
    <row r="453" spans="3:4" ht="15.75" customHeight="1">
      <c r="C453" s="1"/>
      <c r="D453" s="2"/>
    </row>
    <row r="454" spans="3:4" ht="15.75" customHeight="1">
      <c r="C454" s="1"/>
      <c r="D454" s="2"/>
    </row>
    <row r="455" spans="3:4" ht="15.75" customHeight="1">
      <c r="C455" s="1"/>
      <c r="D455" s="2"/>
    </row>
    <row r="456" spans="3:4" ht="15.75" customHeight="1">
      <c r="C456" s="1"/>
      <c r="D456" s="2"/>
    </row>
    <row r="457" spans="3:4" ht="15.75" customHeight="1">
      <c r="C457" s="1"/>
      <c r="D457" s="2"/>
    </row>
    <row r="458" spans="3:4" ht="15.75" customHeight="1">
      <c r="C458" s="1"/>
      <c r="D458" s="2"/>
    </row>
    <row r="459" spans="3:4" ht="15.75" customHeight="1">
      <c r="C459" s="1"/>
      <c r="D459" s="2"/>
    </row>
    <row r="460" spans="3:4" ht="15.75" customHeight="1">
      <c r="C460" s="1"/>
      <c r="D460" s="2"/>
    </row>
    <row r="461" spans="3:4" ht="15.75" customHeight="1">
      <c r="C461" s="1"/>
      <c r="D461" s="2"/>
    </row>
    <row r="462" spans="3:4" ht="15.75" customHeight="1">
      <c r="C462" s="1"/>
      <c r="D462" s="2"/>
    </row>
    <row r="463" spans="3:4" ht="15.75" customHeight="1">
      <c r="C463" s="1"/>
      <c r="D463" s="2"/>
    </row>
    <row r="464" spans="3:4" ht="15.75" customHeight="1">
      <c r="C464" s="1"/>
      <c r="D464" s="2"/>
    </row>
    <row r="465" spans="3:4" ht="15.75" customHeight="1">
      <c r="C465" s="1"/>
      <c r="D465" s="2"/>
    </row>
    <row r="466" spans="3:4" ht="15.75" customHeight="1">
      <c r="C466" s="1"/>
      <c r="D466" s="2"/>
    </row>
    <row r="467" spans="3:4" ht="15.75" customHeight="1">
      <c r="C467" s="1"/>
      <c r="D467" s="2"/>
    </row>
    <row r="468" spans="3:4" ht="15.75" customHeight="1">
      <c r="C468" s="1"/>
      <c r="D468" s="2"/>
    </row>
    <row r="469" spans="3:4" ht="15.75" customHeight="1">
      <c r="C469" s="1"/>
      <c r="D469" s="2"/>
    </row>
    <row r="470" spans="3:4" ht="15.75" customHeight="1">
      <c r="C470" s="1"/>
      <c r="D470" s="2"/>
    </row>
    <row r="471" spans="3:4" ht="15.75" customHeight="1">
      <c r="C471" s="1"/>
      <c r="D471" s="2"/>
    </row>
    <row r="472" spans="3:4" ht="15.75" customHeight="1">
      <c r="C472" s="1"/>
      <c r="D472" s="2"/>
    </row>
    <row r="473" spans="3:4" ht="15.75" customHeight="1">
      <c r="C473" s="1"/>
      <c r="D473" s="2"/>
    </row>
    <row r="474" spans="3:4" ht="15.75" customHeight="1">
      <c r="C474" s="1"/>
      <c r="D474" s="2"/>
    </row>
    <row r="475" spans="3:4" ht="15.75" customHeight="1">
      <c r="C475" s="1"/>
      <c r="D475" s="2"/>
    </row>
    <row r="476" spans="3:4" ht="15.75" customHeight="1">
      <c r="C476" s="1"/>
      <c r="D476" s="2"/>
    </row>
    <row r="477" spans="3:4" ht="15.75" customHeight="1">
      <c r="C477" s="1"/>
      <c r="D477" s="2"/>
    </row>
    <row r="478" spans="3:4" ht="15.75" customHeight="1">
      <c r="C478" s="1"/>
      <c r="D478" s="2"/>
    </row>
    <row r="479" spans="3:4" ht="15.75" customHeight="1">
      <c r="C479" s="1"/>
      <c r="D479" s="2"/>
    </row>
    <row r="480" spans="3:4" ht="15.75" customHeight="1">
      <c r="C480" s="1"/>
      <c r="D480" s="2"/>
    </row>
    <row r="481" spans="3:4" ht="15.75" customHeight="1">
      <c r="C481" s="1"/>
      <c r="D481" s="2"/>
    </row>
    <row r="482" spans="3:4" ht="15.75" customHeight="1">
      <c r="C482" s="1"/>
      <c r="D482" s="2"/>
    </row>
    <row r="483" spans="3:4" ht="15.75" customHeight="1">
      <c r="C483" s="1"/>
      <c r="D483" s="2"/>
    </row>
    <row r="484" spans="3:4" ht="15.75" customHeight="1">
      <c r="C484" s="1"/>
      <c r="D484" s="2"/>
    </row>
    <row r="485" spans="3:4" ht="15.75" customHeight="1">
      <c r="C485" s="1"/>
      <c r="D485" s="2"/>
    </row>
    <row r="486" spans="3:4" ht="15.75" customHeight="1">
      <c r="C486" s="1"/>
      <c r="D486" s="2"/>
    </row>
    <row r="487" spans="3:4" ht="15.75" customHeight="1">
      <c r="C487" s="1"/>
      <c r="D487" s="2"/>
    </row>
    <row r="488" spans="3:4" ht="15.75" customHeight="1">
      <c r="C488" s="1"/>
      <c r="D488" s="2"/>
    </row>
    <row r="489" spans="3:4" ht="15.75" customHeight="1">
      <c r="C489" s="1"/>
      <c r="D489" s="2"/>
    </row>
    <row r="490" spans="3:4" ht="15.75" customHeight="1">
      <c r="C490" s="1"/>
      <c r="D490" s="2"/>
    </row>
    <row r="491" spans="3:4" ht="15.75" customHeight="1">
      <c r="C491" s="1"/>
      <c r="D491" s="2"/>
    </row>
    <row r="492" spans="3:4" ht="15.75" customHeight="1">
      <c r="C492" s="1"/>
      <c r="D492" s="2"/>
    </row>
    <row r="493" spans="3:4" ht="15.75" customHeight="1">
      <c r="C493" s="1"/>
      <c r="D493" s="2"/>
    </row>
    <row r="494" spans="3:4" ht="15.75" customHeight="1">
      <c r="C494" s="1"/>
      <c r="D494" s="2"/>
    </row>
    <row r="495" spans="3:4" ht="15.75" customHeight="1">
      <c r="C495" s="1"/>
      <c r="D495" s="2"/>
    </row>
    <row r="496" spans="3:4" ht="15.75" customHeight="1">
      <c r="C496" s="1"/>
      <c r="D496" s="2"/>
    </row>
    <row r="497" spans="3:4" ht="15.75" customHeight="1">
      <c r="C497" s="1"/>
      <c r="D497" s="2"/>
    </row>
    <row r="498" spans="3:4" ht="15.75" customHeight="1">
      <c r="C498" s="1"/>
      <c r="D498" s="2"/>
    </row>
    <row r="499" spans="3:4" ht="15.75" customHeight="1">
      <c r="C499" s="1"/>
      <c r="D499" s="2"/>
    </row>
    <row r="500" spans="3:4" ht="15.75" customHeight="1">
      <c r="C500" s="1"/>
      <c r="D500" s="2"/>
    </row>
    <row r="501" spans="3:4" ht="15.75" customHeight="1">
      <c r="C501" s="1"/>
      <c r="D501" s="2"/>
    </row>
    <row r="502" spans="3:4" ht="15.75" customHeight="1">
      <c r="C502" s="1"/>
      <c r="D502" s="2"/>
    </row>
    <row r="503" spans="3:4" ht="15.75" customHeight="1">
      <c r="C503" s="1"/>
      <c r="D503" s="2"/>
    </row>
    <row r="504" spans="3:4" ht="15.75" customHeight="1">
      <c r="C504" s="1"/>
      <c r="D504" s="2"/>
    </row>
    <row r="505" spans="3:4" ht="15.75" customHeight="1">
      <c r="C505" s="1"/>
      <c r="D505" s="2"/>
    </row>
    <row r="506" spans="3:4" ht="15.75" customHeight="1">
      <c r="C506" s="1"/>
      <c r="D506" s="2"/>
    </row>
    <row r="507" spans="3:4" ht="15.75" customHeight="1">
      <c r="C507" s="1"/>
      <c r="D507" s="2"/>
    </row>
    <row r="508" spans="3:4" ht="15.75" customHeight="1">
      <c r="C508" s="1"/>
      <c r="D508" s="2"/>
    </row>
    <row r="509" spans="3:4" ht="15.75" customHeight="1">
      <c r="C509" s="1"/>
      <c r="D509" s="2"/>
    </row>
    <row r="510" spans="3:4" ht="15.75" customHeight="1">
      <c r="C510" s="1"/>
      <c r="D510" s="2"/>
    </row>
    <row r="511" spans="3:4" ht="15.75" customHeight="1">
      <c r="C511" s="1"/>
      <c r="D511" s="2"/>
    </row>
    <row r="512" spans="3:4" ht="15.75" customHeight="1">
      <c r="C512" s="1"/>
      <c r="D512" s="2"/>
    </row>
    <row r="513" spans="3:4" ht="15.75" customHeight="1">
      <c r="C513" s="1"/>
      <c r="D513" s="2"/>
    </row>
    <row r="514" spans="3:4" ht="15.75" customHeight="1">
      <c r="C514" s="1"/>
      <c r="D514" s="2"/>
    </row>
    <row r="515" spans="3:4" ht="15.75" customHeight="1">
      <c r="C515" s="1"/>
      <c r="D515" s="2"/>
    </row>
    <row r="516" spans="3:4" ht="15.75" customHeight="1">
      <c r="C516" s="1"/>
      <c r="D516" s="2"/>
    </row>
    <row r="517" spans="3:4" ht="15.75" customHeight="1">
      <c r="C517" s="1"/>
      <c r="D517" s="2"/>
    </row>
    <row r="518" spans="3:4" ht="15.75" customHeight="1">
      <c r="C518" s="1"/>
      <c r="D518" s="2"/>
    </row>
    <row r="519" spans="3:4" ht="15.75" customHeight="1">
      <c r="C519" s="1"/>
      <c r="D519" s="2"/>
    </row>
    <row r="520" spans="3:4" ht="15.75" customHeight="1">
      <c r="C520" s="1"/>
      <c r="D520" s="2"/>
    </row>
    <row r="521" spans="3:4" ht="15.75" customHeight="1">
      <c r="C521" s="1"/>
      <c r="D521" s="2"/>
    </row>
    <row r="522" spans="3:4" ht="15.75" customHeight="1">
      <c r="C522" s="1"/>
      <c r="D522" s="2"/>
    </row>
    <row r="523" spans="3:4" ht="15.75" customHeight="1">
      <c r="C523" s="1"/>
      <c r="D523" s="2"/>
    </row>
    <row r="524" spans="3:4" ht="15.75" customHeight="1">
      <c r="C524" s="1"/>
      <c r="D524" s="2"/>
    </row>
    <row r="525" spans="3:4" ht="15.75" customHeight="1">
      <c r="C525" s="1"/>
      <c r="D525" s="2"/>
    </row>
    <row r="526" spans="3:4" ht="15.75" customHeight="1">
      <c r="C526" s="1"/>
      <c r="D526" s="2"/>
    </row>
    <row r="527" spans="3:4" ht="15.75" customHeight="1">
      <c r="C527" s="1"/>
      <c r="D527" s="2"/>
    </row>
    <row r="528" spans="3:4" ht="15.75" customHeight="1">
      <c r="C528" s="1"/>
      <c r="D528" s="2"/>
    </row>
    <row r="529" spans="3:4" ht="15.75" customHeight="1">
      <c r="C529" s="1"/>
      <c r="D529" s="2"/>
    </row>
    <row r="530" spans="3:4" ht="15.75" customHeight="1">
      <c r="C530" s="1"/>
      <c r="D530" s="2"/>
    </row>
    <row r="531" spans="3:4" ht="15.75" customHeight="1">
      <c r="C531" s="1"/>
      <c r="D531" s="2"/>
    </row>
    <row r="532" spans="3:4" ht="15.75" customHeight="1">
      <c r="C532" s="1"/>
      <c r="D532" s="2"/>
    </row>
    <row r="533" spans="3:4" ht="15.75" customHeight="1">
      <c r="C533" s="1"/>
      <c r="D533" s="2"/>
    </row>
    <row r="534" spans="3:4" ht="15.75" customHeight="1">
      <c r="C534" s="1"/>
      <c r="D534" s="2"/>
    </row>
    <row r="535" spans="3:4" ht="15.75" customHeight="1">
      <c r="C535" s="1"/>
      <c r="D535" s="2"/>
    </row>
    <row r="536" spans="3:4" ht="15.75" customHeight="1">
      <c r="C536" s="1"/>
      <c r="D536" s="2"/>
    </row>
    <row r="537" spans="3:4" ht="15.75" customHeight="1">
      <c r="C537" s="1"/>
      <c r="D537" s="2"/>
    </row>
    <row r="538" spans="3:4" ht="15.75" customHeight="1">
      <c r="C538" s="1"/>
      <c r="D538" s="2"/>
    </row>
    <row r="539" spans="3:4" ht="15.75" customHeight="1">
      <c r="C539" s="1"/>
      <c r="D539" s="2"/>
    </row>
    <row r="540" spans="3:4" ht="15.75" customHeight="1">
      <c r="C540" s="1"/>
      <c r="D540" s="2"/>
    </row>
    <row r="541" spans="3:4" ht="15.75" customHeight="1">
      <c r="C541" s="1"/>
      <c r="D541" s="2"/>
    </row>
    <row r="542" spans="3:4" ht="15.75" customHeight="1">
      <c r="C542" s="1"/>
      <c r="D542" s="2"/>
    </row>
    <row r="543" spans="3:4" ht="15.75" customHeight="1">
      <c r="C543" s="1"/>
      <c r="D543" s="2"/>
    </row>
    <row r="544" spans="3:4" ht="15.75" customHeight="1">
      <c r="C544" s="1"/>
      <c r="D544" s="2"/>
    </row>
    <row r="545" spans="3:4" ht="15.75" customHeight="1">
      <c r="C545" s="1"/>
      <c r="D545" s="2"/>
    </row>
    <row r="546" spans="3:4" ht="15.75" customHeight="1">
      <c r="C546" s="1"/>
      <c r="D546" s="2"/>
    </row>
    <row r="547" spans="3:4" ht="15.75" customHeight="1">
      <c r="C547" s="1"/>
      <c r="D547" s="2"/>
    </row>
    <row r="548" spans="3:4" ht="15.75" customHeight="1">
      <c r="C548" s="1"/>
      <c r="D548" s="2"/>
    </row>
    <row r="549" spans="3:4" ht="15.75" customHeight="1">
      <c r="C549" s="1"/>
      <c r="D549" s="2"/>
    </row>
    <row r="550" spans="3:4" ht="15.75" customHeight="1">
      <c r="C550" s="1"/>
      <c r="D550" s="2"/>
    </row>
    <row r="551" spans="3:4" ht="15.75" customHeight="1">
      <c r="C551" s="1"/>
      <c r="D551" s="2"/>
    </row>
    <row r="552" spans="3:4" ht="15.75" customHeight="1">
      <c r="C552" s="1"/>
      <c r="D552" s="2"/>
    </row>
    <row r="553" spans="3:4" ht="15.75" customHeight="1">
      <c r="C553" s="1"/>
      <c r="D553" s="2"/>
    </row>
    <row r="554" spans="3:4" ht="15.75" customHeight="1">
      <c r="C554" s="1"/>
      <c r="D554" s="2"/>
    </row>
    <row r="555" spans="3:4" ht="15.75" customHeight="1">
      <c r="C555" s="1"/>
      <c r="D555" s="2"/>
    </row>
    <row r="556" spans="3:4" ht="15.75" customHeight="1">
      <c r="C556" s="1"/>
      <c r="D556" s="2"/>
    </row>
    <row r="557" spans="3:4" ht="15.75" customHeight="1">
      <c r="C557" s="1"/>
      <c r="D557" s="2"/>
    </row>
    <row r="558" spans="3:4" ht="15.75" customHeight="1">
      <c r="C558" s="1"/>
      <c r="D558" s="2"/>
    </row>
    <row r="559" spans="3:4" ht="15.75" customHeight="1">
      <c r="C559" s="1"/>
      <c r="D559" s="2"/>
    </row>
    <row r="560" spans="3:4" ht="15.75" customHeight="1">
      <c r="C560" s="1"/>
      <c r="D560" s="2"/>
    </row>
    <row r="561" spans="3:4" ht="15.75" customHeight="1">
      <c r="C561" s="1"/>
      <c r="D561" s="2"/>
    </row>
    <row r="562" spans="3:4" ht="15.75" customHeight="1">
      <c r="C562" s="1"/>
      <c r="D562" s="2"/>
    </row>
    <row r="563" spans="3:4" ht="15.75" customHeight="1">
      <c r="C563" s="1"/>
      <c r="D563" s="2"/>
    </row>
    <row r="564" spans="3:4" ht="15.75" customHeight="1">
      <c r="C564" s="1"/>
      <c r="D564" s="2"/>
    </row>
    <row r="565" spans="3:4" ht="15.75" customHeight="1">
      <c r="C565" s="1"/>
      <c r="D565" s="2"/>
    </row>
    <row r="566" spans="3:4" ht="15.75" customHeight="1">
      <c r="C566" s="1"/>
      <c r="D566" s="2"/>
    </row>
    <row r="567" spans="3:4" ht="15.75" customHeight="1">
      <c r="C567" s="1"/>
      <c r="D567" s="2"/>
    </row>
    <row r="568" spans="3:4" ht="15.75" customHeight="1">
      <c r="C568" s="1"/>
      <c r="D568" s="2"/>
    </row>
    <row r="569" spans="3:4" ht="15.75" customHeight="1">
      <c r="C569" s="1"/>
      <c r="D569" s="2"/>
    </row>
    <row r="570" spans="3:4" ht="15.75" customHeight="1">
      <c r="C570" s="1"/>
      <c r="D570" s="2"/>
    </row>
    <row r="571" spans="3:4" ht="15.75" customHeight="1">
      <c r="C571" s="1"/>
      <c r="D571" s="2"/>
    </row>
    <row r="572" spans="3:4" ht="15.75" customHeight="1">
      <c r="C572" s="1"/>
      <c r="D572" s="2"/>
    </row>
    <row r="573" spans="3:4" ht="15.75" customHeight="1">
      <c r="C573" s="1"/>
      <c r="D573" s="2"/>
    </row>
    <row r="574" spans="3:4" ht="15.75" customHeight="1">
      <c r="C574" s="1"/>
      <c r="D574" s="2"/>
    </row>
    <row r="575" spans="3:4" ht="15.75" customHeight="1">
      <c r="C575" s="1"/>
      <c r="D575" s="2"/>
    </row>
    <row r="576" spans="3:4" ht="15.75" customHeight="1">
      <c r="C576" s="1"/>
      <c r="D576" s="2"/>
    </row>
    <row r="577" spans="3:4" ht="15.75" customHeight="1">
      <c r="C577" s="1"/>
      <c r="D577" s="2"/>
    </row>
    <row r="578" spans="3:4" ht="15.75" customHeight="1">
      <c r="C578" s="1"/>
      <c r="D578" s="2"/>
    </row>
    <row r="579" spans="3:4" ht="15.75" customHeight="1">
      <c r="C579" s="1"/>
      <c r="D579" s="2"/>
    </row>
    <row r="580" spans="3:4" ht="15.75" customHeight="1">
      <c r="C580" s="1"/>
      <c r="D580" s="2"/>
    </row>
    <row r="581" spans="3:4" ht="15.75" customHeight="1">
      <c r="C581" s="1"/>
      <c r="D581" s="2"/>
    </row>
    <row r="582" spans="3:4" ht="15.75" customHeight="1">
      <c r="C582" s="1"/>
      <c r="D582" s="2"/>
    </row>
    <row r="583" spans="3:4" ht="15.75" customHeight="1">
      <c r="C583" s="1"/>
      <c r="D583" s="2"/>
    </row>
    <row r="584" spans="3:4" ht="15.75" customHeight="1">
      <c r="C584" s="1"/>
      <c r="D584" s="2"/>
    </row>
    <row r="585" spans="3:4" ht="15.75" customHeight="1">
      <c r="C585" s="1"/>
      <c r="D585" s="2"/>
    </row>
    <row r="586" spans="3:4" ht="15.75" customHeight="1">
      <c r="C586" s="1"/>
      <c r="D586" s="2"/>
    </row>
    <row r="587" spans="3:4" ht="15.75" customHeight="1">
      <c r="C587" s="1"/>
      <c r="D587" s="2"/>
    </row>
    <row r="588" spans="3:4" ht="15.75" customHeight="1">
      <c r="C588" s="1"/>
      <c r="D588" s="2"/>
    </row>
    <row r="589" spans="3:4" ht="15.75" customHeight="1">
      <c r="C589" s="1"/>
      <c r="D589" s="2"/>
    </row>
    <row r="590" spans="3:4" ht="15.75" customHeight="1">
      <c r="C590" s="1"/>
      <c r="D590" s="2"/>
    </row>
    <row r="591" spans="3:4" ht="15.75" customHeight="1">
      <c r="C591" s="1"/>
      <c r="D591" s="2"/>
    </row>
    <row r="592" spans="3:4" ht="15.75" customHeight="1">
      <c r="C592" s="1"/>
      <c r="D592" s="2"/>
    </row>
    <row r="593" spans="3:4" ht="15.75" customHeight="1">
      <c r="C593" s="1"/>
      <c r="D593" s="2"/>
    </row>
    <row r="594" spans="3:4" ht="15.75" customHeight="1">
      <c r="C594" s="1"/>
      <c r="D594" s="2"/>
    </row>
    <row r="595" spans="3:4" ht="15.75" customHeight="1">
      <c r="C595" s="1"/>
      <c r="D595" s="2"/>
    </row>
    <row r="596" spans="3:4" ht="15.75" customHeight="1">
      <c r="C596" s="1"/>
      <c r="D596" s="2"/>
    </row>
    <row r="597" spans="3:4" ht="15.75" customHeight="1">
      <c r="C597" s="1"/>
      <c r="D597" s="2"/>
    </row>
    <row r="598" spans="3:4" ht="15.75" customHeight="1">
      <c r="C598" s="1"/>
      <c r="D598" s="2"/>
    </row>
    <row r="599" spans="3:4" ht="15.75" customHeight="1">
      <c r="C599" s="1"/>
      <c r="D599" s="2"/>
    </row>
    <row r="600" spans="3:4" ht="15.75" customHeight="1">
      <c r="C600" s="1"/>
      <c r="D600" s="2"/>
    </row>
    <row r="601" spans="3:4" ht="15.75" customHeight="1">
      <c r="C601" s="1"/>
      <c r="D601" s="2"/>
    </row>
    <row r="602" spans="3:4" ht="15.75" customHeight="1">
      <c r="C602" s="1"/>
      <c r="D602" s="2"/>
    </row>
    <row r="603" spans="3:4" ht="15.75" customHeight="1">
      <c r="C603" s="1"/>
      <c r="D603" s="2"/>
    </row>
    <row r="604" spans="3:4" ht="15.75" customHeight="1">
      <c r="C604" s="1"/>
      <c r="D604" s="2"/>
    </row>
    <row r="605" spans="3:4" ht="15.75" customHeight="1">
      <c r="C605" s="1"/>
      <c r="D605" s="2"/>
    </row>
    <row r="606" spans="3:4" ht="15.75" customHeight="1">
      <c r="C606" s="1"/>
      <c r="D606" s="2"/>
    </row>
    <row r="607" spans="3:4" ht="15.75" customHeight="1">
      <c r="C607" s="1"/>
      <c r="D607" s="2"/>
    </row>
    <row r="608" spans="3:4" ht="15.75" customHeight="1">
      <c r="C608" s="1"/>
      <c r="D608" s="2"/>
    </row>
    <row r="609" spans="3:4" ht="15.75" customHeight="1">
      <c r="C609" s="1"/>
      <c r="D609" s="2"/>
    </row>
    <row r="610" spans="3:4" ht="15.75" customHeight="1">
      <c r="C610" s="1"/>
      <c r="D610" s="2"/>
    </row>
    <row r="611" spans="3:4" ht="15.75" customHeight="1">
      <c r="C611" s="1"/>
      <c r="D611" s="2"/>
    </row>
    <row r="612" spans="3:4" ht="15.75" customHeight="1">
      <c r="C612" s="1"/>
      <c r="D612" s="2"/>
    </row>
    <row r="613" spans="3:4" ht="15.75" customHeight="1">
      <c r="C613" s="1"/>
      <c r="D613" s="2"/>
    </row>
    <row r="614" spans="3:4" ht="15.75" customHeight="1">
      <c r="C614" s="1"/>
      <c r="D614" s="2"/>
    </row>
    <row r="615" spans="3:4" ht="15.75" customHeight="1">
      <c r="C615" s="1"/>
      <c r="D615" s="2"/>
    </row>
    <row r="616" spans="3:4" ht="15.75" customHeight="1">
      <c r="C616" s="1"/>
      <c r="D616" s="2"/>
    </row>
    <row r="617" spans="3:4" ht="15.75" customHeight="1">
      <c r="C617" s="1"/>
      <c r="D617" s="2"/>
    </row>
    <row r="618" spans="3:4" ht="15.75" customHeight="1">
      <c r="C618" s="1"/>
      <c r="D618" s="2"/>
    </row>
    <row r="619" spans="3:4" ht="15.75" customHeight="1">
      <c r="C619" s="1"/>
      <c r="D619" s="2"/>
    </row>
    <row r="620" spans="3:4" ht="15.75" customHeight="1">
      <c r="C620" s="1"/>
      <c r="D620" s="2"/>
    </row>
    <row r="621" spans="3:4" ht="15.75" customHeight="1">
      <c r="C621" s="1"/>
      <c r="D621" s="2"/>
    </row>
    <row r="622" spans="3:4" ht="15.75" customHeight="1">
      <c r="C622" s="1"/>
      <c r="D622" s="2"/>
    </row>
    <row r="623" spans="3:4" ht="15.75" customHeight="1">
      <c r="C623" s="1"/>
      <c r="D623" s="2"/>
    </row>
    <row r="624" spans="3:4" ht="15.75" customHeight="1">
      <c r="C624" s="1"/>
      <c r="D624" s="2"/>
    </row>
    <row r="625" spans="3:4" ht="15.75" customHeight="1">
      <c r="C625" s="1"/>
      <c r="D625" s="2"/>
    </row>
    <row r="626" spans="3:4" ht="15.75" customHeight="1">
      <c r="C626" s="1"/>
      <c r="D626" s="2"/>
    </row>
    <row r="627" spans="3:4" ht="15.75" customHeight="1">
      <c r="C627" s="1"/>
      <c r="D627" s="2"/>
    </row>
    <row r="628" spans="3:4" ht="15.75" customHeight="1">
      <c r="C628" s="1"/>
      <c r="D628" s="2"/>
    </row>
    <row r="629" spans="3:4" ht="15.75" customHeight="1">
      <c r="C629" s="1"/>
      <c r="D629" s="2"/>
    </row>
    <row r="630" spans="3:4" ht="15.75" customHeight="1">
      <c r="C630" s="1"/>
      <c r="D630" s="2"/>
    </row>
    <row r="631" spans="3:4" ht="15.75" customHeight="1">
      <c r="C631" s="1"/>
      <c r="D631" s="2"/>
    </row>
    <row r="632" spans="3:4" ht="15.75" customHeight="1">
      <c r="C632" s="1"/>
      <c r="D632" s="2"/>
    </row>
    <row r="633" spans="3:4" ht="15.75" customHeight="1">
      <c r="C633" s="1"/>
      <c r="D633" s="2"/>
    </row>
    <row r="634" spans="3:4" ht="15.75" customHeight="1">
      <c r="C634" s="1"/>
      <c r="D634" s="2"/>
    </row>
    <row r="635" spans="3:4" ht="15.75" customHeight="1">
      <c r="C635" s="1"/>
      <c r="D635" s="2"/>
    </row>
    <row r="636" spans="3:4" ht="15.75" customHeight="1">
      <c r="C636" s="1"/>
      <c r="D636" s="2"/>
    </row>
    <row r="637" spans="3:4" ht="15.75" customHeight="1">
      <c r="C637" s="1"/>
      <c r="D637" s="2"/>
    </row>
    <row r="638" spans="3:4" ht="15.75" customHeight="1">
      <c r="C638" s="1"/>
      <c r="D638" s="2"/>
    </row>
    <row r="639" spans="3:4" ht="15.75" customHeight="1">
      <c r="C639" s="1"/>
      <c r="D639" s="2"/>
    </row>
    <row r="640" spans="3:4" ht="15.75" customHeight="1">
      <c r="C640" s="1"/>
      <c r="D640" s="2"/>
    </row>
    <row r="641" spans="3:4" ht="15.75" customHeight="1">
      <c r="C641" s="1"/>
      <c r="D641" s="2"/>
    </row>
    <row r="642" spans="3:4" ht="15.75" customHeight="1">
      <c r="C642" s="1"/>
      <c r="D642" s="2"/>
    </row>
    <row r="643" spans="3:4" ht="15.75" customHeight="1">
      <c r="C643" s="1"/>
      <c r="D643" s="2"/>
    </row>
    <row r="644" spans="3:4" ht="15.75" customHeight="1">
      <c r="C644" s="1"/>
      <c r="D644" s="2"/>
    </row>
    <row r="645" spans="3:4" ht="15.75" customHeight="1">
      <c r="C645" s="1"/>
      <c r="D645" s="2"/>
    </row>
    <row r="646" spans="3:4" ht="15.75" customHeight="1">
      <c r="C646" s="1"/>
      <c r="D646" s="2"/>
    </row>
    <row r="647" spans="3:4" ht="15.75" customHeight="1">
      <c r="C647" s="1"/>
      <c r="D647" s="2"/>
    </row>
    <row r="648" spans="3:4" ht="15.75" customHeight="1">
      <c r="C648" s="1"/>
      <c r="D648" s="2"/>
    </row>
    <row r="649" spans="3:4" ht="15.75" customHeight="1">
      <c r="C649" s="1"/>
      <c r="D649" s="2"/>
    </row>
    <row r="650" spans="3:4" ht="15.75" customHeight="1">
      <c r="C650" s="1"/>
      <c r="D650" s="2"/>
    </row>
    <row r="651" spans="3:4" ht="15.75" customHeight="1">
      <c r="C651" s="1"/>
      <c r="D651" s="2"/>
    </row>
    <row r="652" spans="3:4" ht="15.75" customHeight="1">
      <c r="C652" s="1"/>
      <c r="D652" s="2"/>
    </row>
    <row r="653" spans="3:4" ht="15.75" customHeight="1">
      <c r="C653" s="1"/>
      <c r="D653" s="2"/>
    </row>
    <row r="654" spans="3:4" ht="15.75" customHeight="1">
      <c r="C654" s="1"/>
      <c r="D654" s="2"/>
    </row>
    <row r="655" spans="3:4" ht="15.75" customHeight="1">
      <c r="C655" s="1"/>
      <c r="D655" s="2"/>
    </row>
    <row r="656" spans="3:4" ht="15.75" customHeight="1">
      <c r="C656" s="1"/>
      <c r="D656" s="2"/>
    </row>
    <row r="657" spans="3:4" ht="15.75" customHeight="1">
      <c r="C657" s="1"/>
      <c r="D657" s="2"/>
    </row>
    <row r="658" spans="3:4" ht="15.75" customHeight="1">
      <c r="C658" s="1"/>
      <c r="D658" s="2"/>
    </row>
    <row r="659" spans="3:4" ht="15.75" customHeight="1">
      <c r="C659" s="1"/>
      <c r="D659" s="2"/>
    </row>
    <row r="660" spans="3:4" ht="15.75" customHeight="1">
      <c r="C660" s="1"/>
      <c r="D660" s="2"/>
    </row>
    <row r="661" spans="3:4" ht="15.75" customHeight="1">
      <c r="C661" s="1"/>
      <c r="D661" s="2"/>
    </row>
    <row r="662" spans="3:4" ht="15.75" customHeight="1">
      <c r="C662" s="1"/>
      <c r="D662" s="2"/>
    </row>
    <row r="663" spans="3:4" ht="15.75" customHeight="1">
      <c r="C663" s="1"/>
      <c r="D663" s="2"/>
    </row>
    <row r="664" spans="3:4" ht="15.75" customHeight="1">
      <c r="C664" s="1"/>
      <c r="D664" s="2"/>
    </row>
    <row r="665" spans="3:4" ht="15.75" customHeight="1">
      <c r="C665" s="1"/>
      <c r="D665" s="2"/>
    </row>
    <row r="666" spans="3:4" ht="15.75" customHeight="1">
      <c r="C666" s="1"/>
      <c r="D666" s="2"/>
    </row>
    <row r="667" spans="3:4" ht="15.75" customHeight="1">
      <c r="C667" s="1"/>
      <c r="D667" s="2"/>
    </row>
    <row r="668" spans="3:4" ht="15.75" customHeight="1">
      <c r="C668" s="1"/>
      <c r="D668" s="2"/>
    </row>
    <row r="669" spans="3:4" ht="15.75" customHeight="1">
      <c r="C669" s="1"/>
      <c r="D669" s="2"/>
    </row>
    <row r="670" spans="3:4" ht="15.75" customHeight="1">
      <c r="C670" s="1"/>
      <c r="D670" s="2"/>
    </row>
    <row r="671" spans="3:4" ht="15.75" customHeight="1">
      <c r="C671" s="1"/>
      <c r="D671" s="2"/>
    </row>
    <row r="672" spans="3:4" ht="15.75" customHeight="1">
      <c r="C672" s="1"/>
      <c r="D672" s="2"/>
    </row>
    <row r="673" spans="3:4" ht="15.75" customHeight="1">
      <c r="C673" s="1"/>
      <c r="D673" s="2"/>
    </row>
    <row r="674" spans="3:4" ht="15.75" customHeight="1">
      <c r="C674" s="1"/>
      <c r="D674" s="2"/>
    </row>
    <row r="675" spans="3:4" ht="15.75" customHeight="1">
      <c r="C675" s="1"/>
      <c r="D675" s="2"/>
    </row>
    <row r="676" spans="3:4" ht="15.75" customHeight="1">
      <c r="C676" s="1"/>
      <c r="D676" s="2"/>
    </row>
    <row r="677" spans="3:4" ht="15.75" customHeight="1">
      <c r="C677" s="1"/>
      <c r="D677" s="2"/>
    </row>
    <row r="678" spans="3:4" ht="15.75" customHeight="1">
      <c r="C678" s="1"/>
      <c r="D678" s="2"/>
    </row>
    <row r="679" spans="3:4" ht="15.75" customHeight="1">
      <c r="C679" s="1"/>
      <c r="D679" s="2"/>
    </row>
    <row r="680" spans="3:4" ht="15.75" customHeight="1">
      <c r="C680" s="1"/>
      <c r="D680" s="2"/>
    </row>
    <row r="681" spans="3:4" ht="15.75" customHeight="1">
      <c r="C681" s="1"/>
      <c r="D681" s="2"/>
    </row>
    <row r="682" spans="3:4" ht="15.75" customHeight="1">
      <c r="C682" s="1"/>
      <c r="D682" s="2"/>
    </row>
    <row r="683" spans="3:4" ht="15.75" customHeight="1">
      <c r="C683" s="1"/>
      <c r="D683" s="2"/>
    </row>
    <row r="684" spans="3:4" ht="15.75" customHeight="1">
      <c r="C684" s="1"/>
      <c r="D684" s="2"/>
    </row>
    <row r="685" spans="3:4" ht="15.75" customHeight="1">
      <c r="C685" s="1"/>
      <c r="D685" s="2"/>
    </row>
    <row r="686" spans="3:4" ht="15.75" customHeight="1">
      <c r="C686" s="1"/>
      <c r="D686" s="2"/>
    </row>
    <row r="687" spans="3:4" ht="15.75" customHeight="1">
      <c r="C687" s="1"/>
      <c r="D687" s="2"/>
    </row>
    <row r="688" spans="3:4" ht="15.75" customHeight="1">
      <c r="C688" s="1"/>
      <c r="D688" s="2"/>
    </row>
    <row r="689" spans="3:4" ht="15.75" customHeight="1">
      <c r="C689" s="1"/>
      <c r="D689" s="2"/>
    </row>
    <row r="690" spans="3:4" ht="15.75" customHeight="1">
      <c r="C690" s="1"/>
      <c r="D690" s="2"/>
    </row>
    <row r="691" spans="3:4" ht="15.75" customHeight="1">
      <c r="C691" s="1"/>
      <c r="D691" s="2"/>
    </row>
    <row r="692" spans="3:4" ht="15.75" customHeight="1">
      <c r="C692" s="1"/>
      <c r="D692" s="2"/>
    </row>
    <row r="693" spans="3:4" ht="15.75" customHeight="1">
      <c r="C693" s="1"/>
      <c r="D693" s="2"/>
    </row>
    <row r="694" spans="3:4" ht="15.75" customHeight="1">
      <c r="C694" s="1"/>
      <c r="D694" s="2"/>
    </row>
    <row r="695" spans="3:4" ht="15.75" customHeight="1">
      <c r="C695" s="1"/>
      <c r="D695" s="2"/>
    </row>
    <row r="696" spans="3:4" ht="15.75" customHeight="1">
      <c r="C696" s="1"/>
      <c r="D696" s="2"/>
    </row>
    <row r="697" spans="3:4" ht="15.75" customHeight="1">
      <c r="C697" s="1"/>
      <c r="D697" s="2"/>
    </row>
    <row r="698" spans="3:4" ht="15.75" customHeight="1">
      <c r="C698" s="1"/>
      <c r="D698" s="2"/>
    </row>
    <row r="699" spans="3:4" ht="15.75" customHeight="1">
      <c r="C699" s="1"/>
      <c r="D699" s="2"/>
    </row>
    <row r="700" spans="3:4" ht="15.75" customHeight="1">
      <c r="C700" s="1"/>
      <c r="D700" s="2"/>
    </row>
    <row r="701" spans="3:4" ht="15.75" customHeight="1">
      <c r="C701" s="1"/>
      <c r="D701" s="2"/>
    </row>
    <row r="702" spans="3:4" ht="15.75" customHeight="1">
      <c r="C702" s="1"/>
      <c r="D702" s="2"/>
    </row>
    <row r="703" spans="3:4" ht="15.75" customHeight="1">
      <c r="C703" s="1"/>
      <c r="D703" s="2"/>
    </row>
    <row r="704" spans="3:4" ht="15.75" customHeight="1">
      <c r="C704" s="1"/>
      <c r="D704" s="2"/>
    </row>
    <row r="705" spans="3:4" ht="15.75" customHeight="1">
      <c r="C705" s="1"/>
      <c r="D705" s="2"/>
    </row>
    <row r="706" spans="3:4" ht="15.75" customHeight="1">
      <c r="C706" s="1"/>
      <c r="D706" s="2"/>
    </row>
    <row r="707" spans="3:4" ht="15.75" customHeight="1">
      <c r="C707" s="1"/>
      <c r="D707" s="2"/>
    </row>
    <row r="708" spans="3:4" ht="15.75" customHeight="1">
      <c r="C708" s="1"/>
      <c r="D708" s="2"/>
    </row>
    <row r="709" spans="3:4" ht="15.75" customHeight="1">
      <c r="C709" s="1"/>
      <c r="D709" s="2"/>
    </row>
    <row r="710" spans="3:4" ht="15.75" customHeight="1">
      <c r="C710" s="1"/>
      <c r="D710" s="2"/>
    </row>
    <row r="711" spans="3:4" ht="15.75" customHeight="1">
      <c r="C711" s="1"/>
      <c r="D711" s="2"/>
    </row>
    <row r="712" spans="3:4" ht="15.75" customHeight="1">
      <c r="C712" s="1"/>
      <c r="D712" s="2"/>
    </row>
    <row r="713" spans="3:4" ht="15.75" customHeight="1">
      <c r="C713" s="1"/>
      <c r="D713" s="2"/>
    </row>
    <row r="714" spans="3:4" ht="15.75" customHeight="1">
      <c r="C714" s="1"/>
      <c r="D714" s="2"/>
    </row>
    <row r="715" spans="3:4" ht="15.75" customHeight="1">
      <c r="C715" s="1"/>
      <c r="D715" s="2"/>
    </row>
    <row r="716" spans="3:4" ht="15.75" customHeight="1">
      <c r="C716" s="1"/>
      <c r="D716" s="2"/>
    </row>
    <row r="717" spans="3:4" ht="15.75" customHeight="1">
      <c r="C717" s="1"/>
      <c r="D717" s="2"/>
    </row>
    <row r="718" spans="3:4" ht="15.75" customHeight="1">
      <c r="C718" s="1"/>
      <c r="D718" s="2"/>
    </row>
    <row r="719" spans="3:4" ht="15.75" customHeight="1">
      <c r="C719" s="1"/>
      <c r="D719" s="2"/>
    </row>
    <row r="720" spans="3:4" ht="15.75" customHeight="1">
      <c r="C720" s="1"/>
      <c r="D720" s="2"/>
    </row>
    <row r="721" spans="3:4" ht="15.75" customHeight="1">
      <c r="C721" s="1"/>
      <c r="D721" s="2"/>
    </row>
    <row r="722" spans="3:4" ht="15.75" customHeight="1">
      <c r="C722" s="1"/>
      <c r="D722" s="2"/>
    </row>
    <row r="723" spans="3:4" ht="15.75" customHeight="1">
      <c r="C723" s="1"/>
      <c r="D723" s="2"/>
    </row>
    <row r="724" spans="3:4" ht="15.75" customHeight="1">
      <c r="C724" s="1"/>
      <c r="D724" s="2"/>
    </row>
    <row r="725" spans="3:4" ht="15.75" customHeight="1">
      <c r="C725" s="1"/>
      <c r="D725" s="2"/>
    </row>
    <row r="726" spans="3:4" ht="15.75" customHeight="1">
      <c r="C726" s="1"/>
      <c r="D726" s="2"/>
    </row>
    <row r="727" spans="3:4" ht="15.75" customHeight="1">
      <c r="C727" s="1"/>
      <c r="D727" s="2"/>
    </row>
    <row r="728" spans="3:4" ht="15.75" customHeight="1">
      <c r="C728" s="1"/>
      <c r="D728" s="2"/>
    </row>
    <row r="729" spans="3:4" ht="15.75" customHeight="1">
      <c r="C729" s="1"/>
      <c r="D729" s="2"/>
    </row>
    <row r="730" spans="3:4" ht="15.75" customHeight="1">
      <c r="C730" s="1"/>
      <c r="D730" s="2"/>
    </row>
    <row r="731" spans="3:4" ht="15.75" customHeight="1">
      <c r="C731" s="1"/>
      <c r="D731" s="2"/>
    </row>
    <row r="732" spans="3:4" ht="15.75" customHeight="1">
      <c r="C732" s="1"/>
      <c r="D732" s="2"/>
    </row>
    <row r="733" spans="3:4" ht="15.75" customHeight="1">
      <c r="C733" s="1"/>
      <c r="D733" s="2"/>
    </row>
    <row r="734" spans="3:4" ht="15.75" customHeight="1">
      <c r="C734" s="1"/>
      <c r="D734" s="2"/>
    </row>
    <row r="735" spans="3:4" ht="15.75" customHeight="1">
      <c r="C735" s="1"/>
      <c r="D735" s="2"/>
    </row>
    <row r="736" spans="3:4" ht="15.75" customHeight="1">
      <c r="C736" s="1"/>
      <c r="D736" s="2"/>
    </row>
    <row r="737" spans="3:4" ht="15.75" customHeight="1">
      <c r="C737" s="1"/>
      <c r="D737" s="2"/>
    </row>
    <row r="738" spans="3:4" ht="15.75" customHeight="1">
      <c r="C738" s="1"/>
      <c r="D738" s="2"/>
    </row>
    <row r="739" spans="3:4" ht="15.75" customHeight="1">
      <c r="C739" s="1"/>
      <c r="D739" s="2"/>
    </row>
    <row r="740" spans="3:4" ht="15.75" customHeight="1">
      <c r="C740" s="1"/>
      <c r="D740" s="2"/>
    </row>
    <row r="741" spans="3:4" ht="15.75" customHeight="1">
      <c r="C741" s="1"/>
      <c r="D741" s="2"/>
    </row>
    <row r="742" spans="3:4" ht="15.75" customHeight="1">
      <c r="C742" s="1"/>
      <c r="D742" s="2"/>
    </row>
    <row r="743" spans="3:4" ht="15.75" customHeight="1">
      <c r="C743" s="1"/>
      <c r="D743" s="2"/>
    </row>
    <row r="744" spans="3:4" ht="15.75" customHeight="1">
      <c r="C744" s="1"/>
      <c r="D744" s="2"/>
    </row>
    <row r="745" spans="3:4" ht="15.75" customHeight="1">
      <c r="C745" s="1"/>
      <c r="D745" s="2"/>
    </row>
    <row r="746" spans="3:4" ht="15.75" customHeight="1">
      <c r="C746" s="1"/>
      <c r="D746" s="2"/>
    </row>
    <row r="747" spans="3:4" ht="15.75" customHeight="1">
      <c r="C747" s="1"/>
      <c r="D747" s="2"/>
    </row>
    <row r="748" spans="3:4" ht="15.75" customHeight="1">
      <c r="C748" s="1"/>
      <c r="D748" s="2"/>
    </row>
    <row r="749" spans="3:4" ht="15.75" customHeight="1">
      <c r="C749" s="1"/>
      <c r="D749" s="2"/>
    </row>
    <row r="750" spans="3:4" ht="15.75" customHeight="1">
      <c r="C750" s="1"/>
      <c r="D750" s="2"/>
    </row>
    <row r="751" spans="3:4" ht="15.75" customHeight="1">
      <c r="C751" s="1"/>
      <c r="D751" s="2"/>
    </row>
    <row r="752" spans="3:4" ht="15.75" customHeight="1">
      <c r="C752" s="1"/>
      <c r="D752" s="2"/>
    </row>
    <row r="753" spans="3:4" ht="15.75" customHeight="1">
      <c r="C753" s="1"/>
      <c r="D753" s="2"/>
    </row>
    <row r="754" spans="3:4" ht="15.75" customHeight="1">
      <c r="C754" s="1"/>
      <c r="D754" s="2"/>
    </row>
    <row r="755" spans="3:4" ht="15.75" customHeight="1">
      <c r="C755" s="1"/>
      <c r="D755" s="2"/>
    </row>
    <row r="756" spans="3:4" ht="15.75" customHeight="1">
      <c r="C756" s="1"/>
      <c r="D756" s="2"/>
    </row>
    <row r="757" spans="3:4" ht="15.75" customHeight="1">
      <c r="C757" s="1"/>
      <c r="D757" s="2"/>
    </row>
    <row r="758" spans="3:4" ht="15.75" customHeight="1">
      <c r="C758" s="1"/>
      <c r="D758" s="2"/>
    </row>
    <row r="759" spans="3:4" ht="15.75" customHeight="1">
      <c r="C759" s="1"/>
      <c r="D759" s="2"/>
    </row>
    <row r="760" spans="3:4" ht="15.75" customHeight="1">
      <c r="C760" s="1"/>
      <c r="D760" s="2"/>
    </row>
    <row r="761" spans="3:4" ht="15.75" customHeight="1">
      <c r="C761" s="1"/>
      <c r="D761" s="2"/>
    </row>
    <row r="762" spans="3:4" ht="15.75" customHeight="1">
      <c r="C762" s="1"/>
      <c r="D762" s="2"/>
    </row>
    <row r="763" spans="3:4" ht="15.75" customHeight="1">
      <c r="C763" s="1"/>
      <c r="D763" s="2"/>
    </row>
    <row r="764" spans="3:4" ht="15.75" customHeight="1">
      <c r="C764" s="1"/>
      <c r="D764" s="2"/>
    </row>
    <row r="765" spans="3:4" ht="15.75" customHeight="1">
      <c r="C765" s="1"/>
      <c r="D765" s="2"/>
    </row>
    <row r="766" spans="3:4" ht="15.75" customHeight="1">
      <c r="C766" s="1"/>
      <c r="D766" s="2"/>
    </row>
    <row r="767" spans="3:4" ht="15.75" customHeight="1">
      <c r="C767" s="1"/>
      <c r="D767" s="2"/>
    </row>
    <row r="768" spans="3:4" ht="15.75" customHeight="1">
      <c r="C768" s="1"/>
      <c r="D768" s="2"/>
    </row>
    <row r="769" spans="3:4" ht="15.75" customHeight="1">
      <c r="C769" s="1"/>
      <c r="D769" s="2"/>
    </row>
    <row r="770" spans="3:4" ht="15.75" customHeight="1">
      <c r="C770" s="1"/>
      <c r="D770" s="2"/>
    </row>
    <row r="771" spans="3:4" ht="15.75" customHeight="1">
      <c r="C771" s="1"/>
      <c r="D771" s="2"/>
    </row>
    <row r="772" spans="3:4" ht="15.75" customHeight="1">
      <c r="C772" s="1"/>
      <c r="D772" s="2"/>
    </row>
    <row r="773" spans="3:4" ht="15.75" customHeight="1">
      <c r="C773" s="1"/>
      <c r="D773" s="2"/>
    </row>
    <row r="774" spans="3:4" ht="15.75" customHeight="1">
      <c r="C774" s="1"/>
      <c r="D774" s="2"/>
    </row>
    <row r="775" spans="3:4" ht="15.75" customHeight="1">
      <c r="C775" s="1"/>
      <c r="D775" s="2"/>
    </row>
    <row r="776" spans="3:4" ht="15.75" customHeight="1">
      <c r="C776" s="1"/>
      <c r="D776" s="2"/>
    </row>
    <row r="777" spans="3:4" ht="15.75" customHeight="1">
      <c r="C777" s="1"/>
      <c r="D777" s="2"/>
    </row>
    <row r="778" spans="3:4" ht="15.75" customHeight="1">
      <c r="C778" s="1"/>
      <c r="D778" s="2"/>
    </row>
    <row r="779" spans="3:4" ht="15.75" customHeight="1">
      <c r="C779" s="1"/>
      <c r="D779" s="2"/>
    </row>
    <row r="780" spans="3:4" ht="15.75" customHeight="1">
      <c r="C780" s="1"/>
      <c r="D780" s="2"/>
    </row>
    <row r="781" spans="3:4" ht="15.75" customHeight="1">
      <c r="C781" s="1"/>
      <c r="D781" s="2"/>
    </row>
    <row r="782" spans="3:4" ht="15.75" customHeight="1">
      <c r="C782" s="1"/>
      <c r="D782" s="2"/>
    </row>
    <row r="783" spans="3:4" ht="15.75" customHeight="1">
      <c r="C783" s="1"/>
      <c r="D783" s="2"/>
    </row>
    <row r="784" spans="3:4" ht="15.75" customHeight="1">
      <c r="C784" s="1"/>
      <c r="D784" s="2"/>
    </row>
    <row r="785" spans="3:4" ht="15.75" customHeight="1">
      <c r="C785" s="1"/>
      <c r="D785" s="2"/>
    </row>
    <row r="786" spans="3:4" ht="15.75" customHeight="1">
      <c r="C786" s="1"/>
      <c r="D786" s="2"/>
    </row>
    <row r="787" spans="3:4" ht="15.75" customHeight="1">
      <c r="C787" s="1"/>
      <c r="D787" s="2"/>
    </row>
    <row r="788" spans="3:4" ht="15.75" customHeight="1">
      <c r="C788" s="1"/>
      <c r="D788" s="2"/>
    </row>
    <row r="789" spans="3:4" ht="15.75" customHeight="1">
      <c r="C789" s="1"/>
      <c r="D789" s="2"/>
    </row>
    <row r="790" spans="3:4" ht="15.75" customHeight="1">
      <c r="C790" s="1"/>
      <c r="D790" s="2"/>
    </row>
    <row r="791" spans="3:4" ht="15.75" customHeight="1">
      <c r="C791" s="1"/>
      <c r="D791" s="2"/>
    </row>
    <row r="792" spans="3:4" ht="15.75" customHeight="1">
      <c r="C792" s="1"/>
      <c r="D792" s="2"/>
    </row>
    <row r="793" spans="3:4" ht="15.75" customHeight="1">
      <c r="C793" s="1"/>
      <c r="D793" s="2"/>
    </row>
    <row r="794" spans="3:4" ht="15.75" customHeight="1">
      <c r="C794" s="1"/>
      <c r="D794" s="2"/>
    </row>
    <row r="795" spans="3:4" ht="15.75" customHeight="1">
      <c r="C795" s="1"/>
      <c r="D795" s="2"/>
    </row>
    <row r="796" spans="3:4" ht="15.75" customHeight="1">
      <c r="C796" s="1"/>
      <c r="D796" s="2"/>
    </row>
    <row r="797" spans="3:4" ht="15.75" customHeight="1">
      <c r="C797" s="1"/>
      <c r="D797" s="2"/>
    </row>
    <row r="798" spans="3:4" ht="15.75" customHeight="1">
      <c r="C798" s="1"/>
      <c r="D798" s="2"/>
    </row>
    <row r="799" spans="3:4" ht="15.75" customHeight="1">
      <c r="C799" s="1"/>
      <c r="D799" s="2"/>
    </row>
    <row r="800" spans="3:4" ht="15.75" customHeight="1">
      <c r="C800" s="1"/>
      <c r="D800" s="2"/>
    </row>
    <row r="801" spans="3:4" ht="15.75" customHeight="1">
      <c r="C801" s="1"/>
      <c r="D801" s="2"/>
    </row>
    <row r="802" spans="3:4" ht="15.75" customHeight="1">
      <c r="C802" s="1"/>
      <c r="D802" s="2"/>
    </row>
    <row r="803" spans="3:4" ht="15.75" customHeight="1">
      <c r="C803" s="1"/>
      <c r="D803" s="2"/>
    </row>
    <row r="804" spans="3:4" ht="15.75" customHeight="1">
      <c r="C804" s="1"/>
      <c r="D804" s="2"/>
    </row>
    <row r="805" spans="3:4" ht="15.75" customHeight="1">
      <c r="C805" s="1"/>
      <c r="D805" s="2"/>
    </row>
    <row r="806" spans="3:4" ht="15.75" customHeight="1">
      <c r="C806" s="1"/>
      <c r="D806" s="2"/>
    </row>
    <row r="807" spans="3:4" ht="15.75" customHeight="1">
      <c r="C807" s="1"/>
      <c r="D807" s="2"/>
    </row>
    <row r="808" spans="3:4" ht="15.75" customHeight="1">
      <c r="C808" s="1"/>
      <c r="D808" s="2"/>
    </row>
    <row r="809" spans="3:4" ht="15.75" customHeight="1">
      <c r="C809" s="1"/>
      <c r="D809" s="2"/>
    </row>
    <row r="810" spans="3:4" ht="15.75" customHeight="1">
      <c r="C810" s="1"/>
      <c r="D810" s="2"/>
    </row>
    <row r="811" spans="3:4" ht="15.75" customHeight="1">
      <c r="C811" s="1"/>
      <c r="D811" s="2"/>
    </row>
    <row r="812" spans="3:4" ht="15.75" customHeight="1">
      <c r="C812" s="1"/>
      <c r="D812" s="2"/>
    </row>
    <row r="813" spans="3:4" ht="15.75" customHeight="1">
      <c r="C813" s="1"/>
      <c r="D813" s="2"/>
    </row>
    <row r="814" spans="3:4" ht="15.75" customHeight="1">
      <c r="C814" s="1"/>
      <c r="D814" s="2"/>
    </row>
    <row r="815" spans="3:4" ht="15.75" customHeight="1">
      <c r="C815" s="1"/>
      <c r="D815" s="2"/>
    </row>
    <row r="816" spans="3:4" ht="15.75" customHeight="1">
      <c r="C816" s="1"/>
      <c r="D816" s="2"/>
    </row>
    <row r="817" spans="3:4" ht="15.75" customHeight="1">
      <c r="C817" s="1"/>
      <c r="D817" s="2"/>
    </row>
    <row r="818" spans="3:4" ht="15.75" customHeight="1">
      <c r="C818" s="1"/>
      <c r="D818" s="2"/>
    </row>
    <row r="819" spans="3:4" ht="15.75" customHeight="1">
      <c r="C819" s="1"/>
      <c r="D819" s="2"/>
    </row>
    <row r="820" spans="3:4" ht="15.75" customHeight="1">
      <c r="C820" s="1"/>
      <c r="D820" s="2"/>
    </row>
    <row r="821" spans="3:4" ht="15.75" customHeight="1">
      <c r="C821" s="1"/>
      <c r="D821" s="2"/>
    </row>
    <row r="822" spans="3:4" ht="15.75" customHeight="1">
      <c r="C822" s="1"/>
      <c r="D822" s="2"/>
    </row>
    <row r="823" spans="3:4" ht="15.75" customHeight="1">
      <c r="C823" s="1"/>
      <c r="D823" s="2"/>
    </row>
    <row r="824" spans="3:4" ht="15.75" customHeight="1">
      <c r="C824" s="1"/>
      <c r="D824" s="2"/>
    </row>
    <row r="825" spans="3:4" ht="15.75" customHeight="1">
      <c r="C825" s="1"/>
      <c r="D825" s="2"/>
    </row>
    <row r="826" spans="3:4" ht="15.75" customHeight="1">
      <c r="C826" s="1"/>
      <c r="D826" s="2"/>
    </row>
    <row r="827" spans="3:4" ht="15.75" customHeight="1">
      <c r="C827" s="1"/>
      <c r="D827" s="2"/>
    </row>
    <row r="828" spans="3:4" ht="15.75" customHeight="1">
      <c r="C828" s="1"/>
      <c r="D828" s="2"/>
    </row>
    <row r="829" spans="3:4" ht="15.75" customHeight="1">
      <c r="C829" s="1"/>
      <c r="D829" s="2"/>
    </row>
    <row r="830" spans="3:4" ht="15.75" customHeight="1">
      <c r="C830" s="1"/>
      <c r="D830" s="2"/>
    </row>
    <row r="831" spans="3:4" ht="15.75" customHeight="1">
      <c r="C831" s="1"/>
      <c r="D831" s="2"/>
    </row>
    <row r="832" spans="3:4" ht="15.75" customHeight="1">
      <c r="C832" s="1"/>
      <c r="D832" s="2"/>
    </row>
    <row r="833" spans="3:4" ht="15.75" customHeight="1">
      <c r="C833" s="1"/>
      <c r="D833" s="2"/>
    </row>
    <row r="834" spans="3:4" ht="15.75" customHeight="1">
      <c r="C834" s="1"/>
      <c r="D834" s="2"/>
    </row>
    <row r="835" spans="3:4" ht="15.75" customHeight="1">
      <c r="C835" s="1"/>
      <c r="D835" s="2"/>
    </row>
    <row r="836" spans="3:4" ht="15.75" customHeight="1">
      <c r="C836" s="1"/>
      <c r="D836" s="2"/>
    </row>
    <row r="837" spans="3:4" ht="15.75" customHeight="1">
      <c r="C837" s="1"/>
      <c r="D837" s="2"/>
    </row>
    <row r="838" spans="3:4" ht="15.75" customHeight="1">
      <c r="C838" s="1"/>
      <c r="D838" s="2"/>
    </row>
    <row r="839" spans="3:4" ht="15.75" customHeight="1">
      <c r="C839" s="1"/>
      <c r="D839" s="2"/>
    </row>
    <row r="840" spans="3:4" ht="15.75" customHeight="1">
      <c r="C840" s="1"/>
      <c r="D840" s="2"/>
    </row>
    <row r="841" spans="3:4" ht="15.75" customHeight="1">
      <c r="C841" s="1"/>
      <c r="D841" s="2"/>
    </row>
    <row r="842" spans="3:4" ht="15.75" customHeight="1">
      <c r="C842" s="1"/>
      <c r="D842" s="2"/>
    </row>
    <row r="843" spans="3:4" ht="15.75" customHeight="1">
      <c r="C843" s="1"/>
      <c r="D843" s="2"/>
    </row>
    <row r="844" spans="3:4" ht="15.75" customHeight="1">
      <c r="C844" s="1"/>
      <c r="D844" s="2"/>
    </row>
    <row r="845" spans="3:4" ht="15.75" customHeight="1">
      <c r="C845" s="1"/>
      <c r="D845" s="2"/>
    </row>
    <row r="846" spans="3:4" ht="15.75" customHeight="1">
      <c r="C846" s="1"/>
      <c r="D846" s="2"/>
    </row>
    <row r="847" spans="3:4" ht="15.75" customHeight="1">
      <c r="C847" s="1"/>
      <c r="D847" s="2"/>
    </row>
    <row r="848" spans="3:4" ht="15.75" customHeight="1">
      <c r="C848" s="1"/>
      <c r="D848" s="2"/>
    </row>
    <row r="849" spans="3:4" ht="15.75" customHeight="1">
      <c r="C849" s="1"/>
      <c r="D849" s="2"/>
    </row>
    <row r="850" spans="3:4" ht="15.75" customHeight="1">
      <c r="C850" s="1"/>
      <c r="D850" s="2"/>
    </row>
    <row r="851" spans="3:4" ht="15.75" customHeight="1">
      <c r="C851" s="1"/>
      <c r="D851" s="2"/>
    </row>
    <row r="852" spans="3:4" ht="15.75" customHeight="1">
      <c r="C852" s="1"/>
      <c r="D852" s="2"/>
    </row>
    <row r="853" spans="3:4" ht="15.75" customHeight="1">
      <c r="C853" s="1"/>
      <c r="D853" s="2"/>
    </row>
    <row r="854" spans="3:4" ht="15.75" customHeight="1">
      <c r="C854" s="1"/>
      <c r="D854" s="2"/>
    </row>
    <row r="855" spans="3:4" ht="15.75" customHeight="1">
      <c r="C855" s="1"/>
      <c r="D855" s="2"/>
    </row>
    <row r="856" spans="3:4" ht="15.75" customHeight="1">
      <c r="C856" s="1"/>
      <c r="D856" s="2"/>
    </row>
    <row r="857" spans="3:4" ht="15.75" customHeight="1">
      <c r="C857" s="1"/>
      <c r="D857" s="2"/>
    </row>
    <row r="858" spans="3:4" ht="15.75" customHeight="1">
      <c r="C858" s="1"/>
      <c r="D858" s="2"/>
    </row>
    <row r="859" spans="3:4" ht="15.75" customHeight="1">
      <c r="C859" s="1"/>
      <c r="D859" s="2"/>
    </row>
    <row r="860" spans="3:4" ht="15.75" customHeight="1">
      <c r="C860" s="1"/>
      <c r="D860" s="2"/>
    </row>
    <row r="861" spans="3:4" ht="15.75" customHeight="1">
      <c r="C861" s="1"/>
      <c r="D861" s="2"/>
    </row>
    <row r="862" spans="3:4" ht="15.75" customHeight="1">
      <c r="C862" s="1"/>
      <c r="D862" s="2"/>
    </row>
    <row r="863" spans="3:4" ht="15.75" customHeight="1">
      <c r="C863" s="1"/>
      <c r="D863" s="2"/>
    </row>
    <row r="864" spans="3:4" ht="15.75" customHeight="1">
      <c r="C864" s="1"/>
      <c r="D864" s="2"/>
    </row>
    <row r="865" spans="3:4" ht="15.75" customHeight="1">
      <c r="C865" s="1"/>
      <c r="D865" s="2"/>
    </row>
    <row r="866" spans="3:4" ht="15.75" customHeight="1">
      <c r="C866" s="1"/>
      <c r="D866" s="2"/>
    </row>
    <row r="867" spans="3:4" ht="15.75" customHeight="1">
      <c r="C867" s="1"/>
      <c r="D867" s="2"/>
    </row>
    <row r="868" spans="3:4" ht="15.75" customHeight="1">
      <c r="C868" s="1"/>
      <c r="D868" s="2"/>
    </row>
    <row r="869" spans="3:4" ht="15.75" customHeight="1">
      <c r="C869" s="1"/>
      <c r="D869" s="2"/>
    </row>
    <row r="870" spans="3:4" ht="15.75" customHeight="1">
      <c r="C870" s="1"/>
      <c r="D870" s="2"/>
    </row>
    <row r="871" spans="3:4" ht="15.75" customHeight="1">
      <c r="C871" s="1"/>
      <c r="D871" s="2"/>
    </row>
    <row r="872" spans="3:4" ht="15.75" customHeight="1">
      <c r="C872" s="1"/>
      <c r="D872" s="2"/>
    </row>
    <row r="873" spans="3:4" ht="15.75" customHeight="1">
      <c r="C873" s="1"/>
      <c r="D873" s="2"/>
    </row>
    <row r="874" spans="3:4" ht="15.75" customHeight="1">
      <c r="C874" s="1"/>
      <c r="D874" s="2"/>
    </row>
    <row r="875" spans="3:4" ht="15.75" customHeight="1">
      <c r="C875" s="1"/>
      <c r="D875" s="2"/>
    </row>
    <row r="876" spans="3:4" ht="15.75" customHeight="1">
      <c r="C876" s="1"/>
      <c r="D876" s="2"/>
    </row>
    <row r="877" spans="3:4" ht="15.75" customHeight="1">
      <c r="C877" s="1"/>
      <c r="D877" s="2"/>
    </row>
    <row r="878" spans="3:4" ht="15.75" customHeight="1">
      <c r="C878" s="1"/>
      <c r="D878" s="2"/>
    </row>
    <row r="879" spans="3:4" ht="15.75" customHeight="1">
      <c r="C879" s="1"/>
      <c r="D879" s="2"/>
    </row>
    <row r="880" spans="3:4" ht="15.75" customHeight="1">
      <c r="C880" s="1"/>
      <c r="D880" s="2"/>
    </row>
    <row r="881" spans="3:4" ht="15.75" customHeight="1">
      <c r="C881" s="1"/>
      <c r="D881" s="2"/>
    </row>
    <row r="882" spans="3:4" ht="15.75" customHeight="1">
      <c r="C882" s="1"/>
      <c r="D882" s="2"/>
    </row>
    <row r="883" spans="3:4" ht="15.75" customHeight="1">
      <c r="C883" s="1"/>
      <c r="D883" s="2"/>
    </row>
    <row r="884" spans="3:4" ht="15.75" customHeight="1">
      <c r="C884" s="1"/>
      <c r="D884" s="2"/>
    </row>
    <row r="885" spans="3:4" ht="15.75" customHeight="1">
      <c r="C885" s="1"/>
      <c r="D885" s="2"/>
    </row>
    <row r="886" spans="3:4" ht="15.75" customHeight="1">
      <c r="C886" s="1"/>
      <c r="D886" s="2"/>
    </row>
    <row r="887" spans="3:4" ht="15.75" customHeight="1">
      <c r="C887" s="1"/>
      <c r="D887" s="2"/>
    </row>
    <row r="888" spans="3:4" ht="15.75" customHeight="1">
      <c r="C888" s="1"/>
      <c r="D888" s="2"/>
    </row>
    <row r="889" spans="3:4" ht="15.75" customHeight="1">
      <c r="C889" s="1"/>
      <c r="D889" s="2"/>
    </row>
    <row r="890" spans="3:4" ht="15.75" customHeight="1">
      <c r="C890" s="1"/>
      <c r="D890" s="2"/>
    </row>
    <row r="891" spans="3:4" ht="15.75" customHeight="1">
      <c r="C891" s="1"/>
      <c r="D891" s="2"/>
    </row>
    <row r="892" spans="3:4" ht="15.75" customHeight="1">
      <c r="C892" s="1"/>
      <c r="D892" s="2"/>
    </row>
    <row r="893" spans="3:4" ht="15.75" customHeight="1">
      <c r="C893" s="1"/>
      <c r="D893" s="2"/>
    </row>
    <row r="894" spans="3:4" ht="15.75" customHeight="1">
      <c r="C894" s="1"/>
      <c r="D894" s="2"/>
    </row>
    <row r="895" spans="3:4" ht="15.75" customHeight="1">
      <c r="C895" s="1"/>
      <c r="D895" s="2"/>
    </row>
    <row r="896" spans="3:4" ht="15.75" customHeight="1">
      <c r="C896" s="1"/>
      <c r="D896" s="2"/>
    </row>
    <row r="897" spans="3:4" ht="15.75" customHeight="1">
      <c r="C897" s="1"/>
      <c r="D897" s="2"/>
    </row>
    <row r="898" spans="3:4" ht="15.75" customHeight="1">
      <c r="C898" s="1"/>
      <c r="D898" s="2"/>
    </row>
    <row r="899" spans="3:4" ht="15.75" customHeight="1">
      <c r="C899" s="1"/>
      <c r="D899" s="2"/>
    </row>
    <row r="900" spans="3:4" ht="15.75" customHeight="1">
      <c r="C900" s="1"/>
      <c r="D900" s="2"/>
    </row>
    <row r="901" spans="3:4" ht="15.75" customHeight="1">
      <c r="C901" s="1"/>
      <c r="D901" s="2"/>
    </row>
    <row r="902" spans="3:4" ht="15.75" customHeight="1">
      <c r="C902" s="1"/>
      <c r="D902" s="2"/>
    </row>
    <row r="903" spans="3:4" ht="15.75" customHeight="1">
      <c r="C903" s="1"/>
      <c r="D903" s="2"/>
    </row>
    <row r="904" spans="3:4" ht="15.75" customHeight="1">
      <c r="C904" s="1"/>
      <c r="D904" s="2"/>
    </row>
    <row r="905" spans="3:4" ht="15.75" customHeight="1">
      <c r="C905" s="1"/>
      <c r="D905" s="2"/>
    </row>
    <row r="906" spans="3:4" ht="15.75" customHeight="1">
      <c r="C906" s="1"/>
      <c r="D906" s="2"/>
    </row>
    <row r="907" spans="3:4" ht="15.75" customHeight="1">
      <c r="C907" s="1"/>
      <c r="D907" s="2"/>
    </row>
    <row r="908" spans="3:4" ht="15.75" customHeight="1">
      <c r="C908" s="1"/>
      <c r="D908" s="2"/>
    </row>
    <row r="909" spans="3:4" ht="15.75" customHeight="1">
      <c r="C909" s="1"/>
      <c r="D909" s="2"/>
    </row>
    <row r="910" spans="3:4" ht="15.75" customHeight="1">
      <c r="C910" s="1"/>
      <c r="D910" s="2"/>
    </row>
    <row r="911" spans="3:4" ht="15.75" customHeight="1">
      <c r="C911" s="1"/>
      <c r="D911" s="2"/>
    </row>
    <row r="912" spans="3:4" ht="15.75" customHeight="1">
      <c r="C912" s="1"/>
      <c r="D912" s="2"/>
    </row>
    <row r="913" spans="3:4" ht="15.75" customHeight="1">
      <c r="C913" s="1"/>
      <c r="D913" s="2"/>
    </row>
    <row r="914" spans="3:4" ht="15.75" customHeight="1">
      <c r="C914" s="1"/>
      <c r="D914" s="2"/>
    </row>
    <row r="915" spans="3:4" ht="15.75" customHeight="1">
      <c r="C915" s="1"/>
      <c r="D915" s="2"/>
    </row>
    <row r="916" spans="3:4" ht="15.75" customHeight="1">
      <c r="C916" s="1"/>
      <c r="D916" s="2"/>
    </row>
    <row r="917" spans="3:4" ht="15.75" customHeight="1">
      <c r="C917" s="1"/>
      <c r="D917" s="2"/>
    </row>
    <row r="918" spans="3:4" ht="15.75" customHeight="1">
      <c r="C918" s="1"/>
      <c r="D918" s="2"/>
    </row>
    <row r="919" spans="3:4" ht="15.75" customHeight="1">
      <c r="C919" s="1"/>
      <c r="D919" s="2"/>
    </row>
    <row r="920" spans="3:4" ht="15.75" customHeight="1">
      <c r="C920" s="1"/>
      <c r="D920" s="2"/>
    </row>
    <row r="921" spans="3:4" ht="15.75" customHeight="1">
      <c r="C921" s="1"/>
      <c r="D921" s="2"/>
    </row>
    <row r="922" spans="3:4" ht="15.75" customHeight="1">
      <c r="C922" s="1"/>
      <c r="D922" s="2"/>
    </row>
    <row r="923" spans="3:4" ht="15.75" customHeight="1">
      <c r="C923" s="1"/>
      <c r="D923" s="2"/>
    </row>
    <row r="924" spans="3:4" ht="15.75" customHeight="1">
      <c r="C924" s="1"/>
      <c r="D924" s="2"/>
    </row>
    <row r="925" spans="3:4" ht="15.75" customHeight="1">
      <c r="C925" s="1"/>
      <c r="D925" s="2"/>
    </row>
    <row r="926" spans="3:4" ht="15.75" customHeight="1">
      <c r="C926" s="1"/>
      <c r="D926" s="2"/>
    </row>
    <row r="927" spans="3:4" ht="15.75" customHeight="1">
      <c r="C927" s="1"/>
      <c r="D927" s="2"/>
    </row>
    <row r="928" spans="3:4" ht="15.75" customHeight="1">
      <c r="C928" s="1"/>
      <c r="D928" s="2"/>
    </row>
    <row r="929" spans="3:4" ht="15.75" customHeight="1">
      <c r="C929" s="1"/>
      <c r="D929" s="2"/>
    </row>
    <row r="930" spans="3:4" ht="15.75" customHeight="1">
      <c r="C930" s="1"/>
      <c r="D930" s="2"/>
    </row>
    <row r="931" spans="3:4" ht="15.75" customHeight="1">
      <c r="C931" s="1"/>
      <c r="D931" s="2"/>
    </row>
    <row r="932" spans="3:4" ht="15.75" customHeight="1">
      <c r="C932" s="1"/>
      <c r="D932" s="2"/>
    </row>
    <row r="933" spans="3:4" ht="15.75" customHeight="1">
      <c r="C933" s="1"/>
      <c r="D933" s="2"/>
    </row>
    <row r="934" spans="3:4" ht="15.75" customHeight="1">
      <c r="C934" s="1"/>
      <c r="D934" s="2"/>
    </row>
    <row r="935" spans="3:4" ht="15.75" customHeight="1">
      <c r="C935" s="1"/>
      <c r="D935" s="2"/>
    </row>
    <row r="936" spans="3:4" ht="15.75" customHeight="1">
      <c r="C936" s="1"/>
      <c r="D936" s="2"/>
    </row>
    <row r="937" spans="3:4" ht="15.75" customHeight="1">
      <c r="C937" s="1"/>
      <c r="D937" s="2"/>
    </row>
    <row r="938" spans="3:4" ht="15.75" customHeight="1">
      <c r="C938" s="1"/>
      <c r="D938" s="2"/>
    </row>
    <row r="939" spans="3:4" ht="15.75" customHeight="1">
      <c r="C939" s="1"/>
      <c r="D939" s="2"/>
    </row>
    <row r="940" spans="3:4" ht="15.75" customHeight="1">
      <c r="C940" s="1"/>
      <c r="D940" s="2"/>
    </row>
    <row r="941" spans="3:4" ht="15.75" customHeight="1">
      <c r="C941" s="1"/>
      <c r="D941" s="2"/>
    </row>
    <row r="942" spans="3:4" ht="15.75" customHeight="1">
      <c r="C942" s="1"/>
      <c r="D942" s="2"/>
    </row>
    <row r="943" spans="3:4" ht="15.75" customHeight="1">
      <c r="C943" s="1"/>
      <c r="D943" s="2"/>
    </row>
    <row r="944" spans="3:4" ht="15.75" customHeight="1">
      <c r="C944" s="1"/>
      <c r="D944" s="2"/>
    </row>
    <row r="945" spans="3:4" ht="15.75" customHeight="1">
      <c r="C945" s="1"/>
      <c r="D945" s="2"/>
    </row>
    <row r="946" spans="3:4" ht="15.75" customHeight="1">
      <c r="C946" s="1"/>
      <c r="D946" s="2"/>
    </row>
    <row r="947" spans="3:4" ht="15.75" customHeight="1">
      <c r="C947" s="1"/>
      <c r="D947" s="2"/>
    </row>
    <row r="948" spans="3:4" ht="15.75" customHeight="1">
      <c r="C948" s="1"/>
      <c r="D948" s="2"/>
    </row>
    <row r="949" spans="3:4" ht="15.75" customHeight="1">
      <c r="C949" s="1"/>
      <c r="D949" s="2"/>
    </row>
    <row r="950" spans="3:4" ht="15.75" customHeight="1">
      <c r="C950" s="1"/>
      <c r="D950" s="2"/>
    </row>
    <row r="951" spans="3:4" ht="15.75" customHeight="1">
      <c r="C951" s="1"/>
      <c r="D951" s="2"/>
    </row>
    <row r="952" spans="3:4" ht="15.75" customHeight="1">
      <c r="C952" s="1"/>
      <c r="D952" s="2"/>
    </row>
    <row r="953" spans="3:4" ht="15.75" customHeight="1">
      <c r="C953" s="1"/>
      <c r="D953" s="2"/>
    </row>
    <row r="954" spans="3:4" ht="15.75" customHeight="1">
      <c r="C954" s="1"/>
      <c r="D954" s="2"/>
    </row>
    <row r="955" spans="3:4" ht="15.75" customHeight="1">
      <c r="C955" s="1"/>
      <c r="D955" s="2"/>
    </row>
    <row r="956" spans="3:4" ht="15.75" customHeight="1">
      <c r="C956" s="1"/>
      <c r="D956" s="2"/>
    </row>
    <row r="957" spans="3:4" ht="15.75" customHeight="1">
      <c r="C957" s="1"/>
      <c r="D957" s="2"/>
    </row>
    <row r="958" spans="3:4" ht="15.75" customHeight="1">
      <c r="C958" s="1"/>
      <c r="D958" s="2"/>
    </row>
    <row r="959" spans="3:4" ht="15.75" customHeight="1">
      <c r="C959" s="1"/>
      <c r="D959" s="2"/>
    </row>
    <row r="960" spans="3:4" ht="15.75" customHeight="1">
      <c r="C960" s="1"/>
      <c r="D960" s="2"/>
    </row>
    <row r="961" spans="3:4" ht="15.75" customHeight="1">
      <c r="C961" s="1"/>
      <c r="D961" s="2"/>
    </row>
    <row r="962" spans="3:4" ht="15.75" customHeight="1">
      <c r="C962" s="1"/>
      <c r="D962" s="2"/>
    </row>
    <row r="963" spans="3:4" ht="15.75" customHeight="1">
      <c r="C963" s="1"/>
      <c r="D963" s="2"/>
    </row>
    <row r="964" spans="3:4" ht="15.75" customHeight="1">
      <c r="C964" s="1"/>
      <c r="D964" s="2"/>
    </row>
    <row r="965" spans="3:4" ht="15.75" customHeight="1">
      <c r="C965" s="1"/>
      <c r="D965" s="2"/>
    </row>
    <row r="966" spans="3:4" ht="15.75" customHeight="1">
      <c r="C966" s="1"/>
      <c r="D966" s="2"/>
    </row>
    <row r="967" spans="3:4" ht="15.75" customHeight="1">
      <c r="C967" s="1"/>
      <c r="D967" s="2"/>
    </row>
    <row r="968" spans="3:4" ht="15.75" customHeight="1">
      <c r="C968" s="1"/>
      <c r="D968" s="2"/>
    </row>
    <row r="969" spans="3:4" ht="15.75" customHeight="1">
      <c r="C969" s="1"/>
      <c r="D969" s="2"/>
    </row>
    <row r="970" spans="3:4" ht="15.75" customHeight="1">
      <c r="C970" s="1"/>
      <c r="D970" s="2"/>
    </row>
    <row r="971" spans="3:4" ht="15.75" customHeight="1">
      <c r="C971" s="1"/>
      <c r="D971" s="2"/>
    </row>
    <row r="972" spans="3:4" ht="15.75" customHeight="1">
      <c r="C972" s="1"/>
      <c r="D972" s="2"/>
    </row>
    <row r="973" spans="3:4" ht="15.75" customHeight="1">
      <c r="C973" s="1"/>
      <c r="D973" s="2"/>
    </row>
    <row r="974" spans="3:4" ht="15.75" customHeight="1">
      <c r="C974" s="1"/>
      <c r="D974" s="2"/>
    </row>
    <row r="975" spans="3:4" ht="15.75" customHeight="1">
      <c r="C975" s="1"/>
      <c r="D975" s="2"/>
    </row>
    <row r="976" spans="3:4" ht="15.75" customHeight="1">
      <c r="C976" s="1"/>
      <c r="D976" s="2"/>
    </row>
    <row r="977" spans="3:4" ht="15.75" customHeight="1">
      <c r="C977" s="1"/>
      <c r="D977" s="2"/>
    </row>
    <row r="978" spans="3:4" ht="15.75" customHeight="1">
      <c r="C978" s="1"/>
      <c r="D978" s="2"/>
    </row>
    <row r="979" spans="3:4" ht="15.75" customHeight="1">
      <c r="C979" s="1"/>
      <c r="D979" s="2"/>
    </row>
    <row r="980" spans="3:4" ht="15.75" customHeight="1">
      <c r="C980" s="1"/>
      <c r="D980" s="2"/>
    </row>
    <row r="981" spans="3:4" ht="15.75" customHeight="1">
      <c r="C981" s="1"/>
      <c r="D981" s="2"/>
    </row>
    <row r="982" spans="3:4" ht="15.75" customHeight="1">
      <c r="C982" s="1"/>
      <c r="D982" s="2"/>
    </row>
    <row r="983" spans="3:4" ht="15.75" customHeight="1">
      <c r="C983" s="1"/>
      <c r="D983" s="2"/>
    </row>
    <row r="984" spans="3:4" ht="15.75" customHeight="1">
      <c r="C984" s="1"/>
      <c r="D984" s="2"/>
    </row>
    <row r="985" spans="3:4" ht="15.75" customHeight="1">
      <c r="C985" s="1"/>
      <c r="D985" s="2"/>
    </row>
    <row r="986" spans="3:4" ht="15.75" customHeight="1">
      <c r="C986" s="1"/>
      <c r="D986" s="2"/>
    </row>
    <row r="987" spans="3:4" ht="15.75" customHeight="1">
      <c r="C987" s="1"/>
      <c r="D987" s="2"/>
    </row>
    <row r="988" spans="3:4" ht="15.75" customHeight="1">
      <c r="C988" s="1"/>
      <c r="D988" s="2"/>
    </row>
    <row r="989" spans="3:4" ht="15.75" customHeight="1">
      <c r="C989" s="1"/>
      <c r="D989" s="2"/>
    </row>
    <row r="990" spans="3:4" ht="15.75" customHeight="1">
      <c r="C990" s="1"/>
      <c r="D990" s="2"/>
    </row>
    <row r="991" spans="3:4" ht="15.75" customHeight="1">
      <c r="C991" s="1"/>
      <c r="D991" s="2"/>
    </row>
    <row r="992" spans="3:4" ht="15.75" customHeight="1">
      <c r="C992" s="1"/>
      <c r="D992" s="2"/>
    </row>
    <row r="993" spans="3:4" ht="15.75" customHeight="1">
      <c r="C993" s="1"/>
      <c r="D993" s="2"/>
    </row>
    <row r="994" spans="3:4" ht="15.75" customHeight="1">
      <c r="C994" s="1"/>
      <c r="D994" s="2"/>
    </row>
    <row r="995" spans="3:4" ht="15.75" customHeight="1">
      <c r="C995" s="1"/>
      <c r="D995" s="2"/>
    </row>
    <row r="996" spans="3:4" ht="15.75" customHeight="1">
      <c r="C996" s="1"/>
      <c r="D996" s="2"/>
    </row>
    <row r="997" spans="3:4" ht="15.75" customHeight="1">
      <c r="C997" s="1"/>
      <c r="D997" s="2"/>
    </row>
    <row r="998" spans="3:4" ht="15.75" customHeight="1">
      <c r="C998" s="1"/>
      <c r="D998" s="2"/>
    </row>
    <row r="999" spans="3:4" ht="15.75" customHeight="1">
      <c r="C999" s="1"/>
      <c r="D999" s="2"/>
    </row>
    <row r="1000" spans="3:4" ht="15.75" customHeight="1">
      <c r="C1000" s="1"/>
      <c r="D1000" s="2"/>
    </row>
  </sheetData>
  <mergeCells count="8">
    <mergeCell ref="B58:D58"/>
    <mergeCell ref="B72:D72"/>
    <mergeCell ref="B79:D79"/>
    <mergeCell ref="B16:D16"/>
    <mergeCell ref="B24:D24"/>
    <mergeCell ref="B33:D33"/>
    <mergeCell ref="B42:D42"/>
    <mergeCell ref="B50:D50"/>
  </mergeCells>
  <dataValidations count="1">
    <dataValidation type="list" allowBlank="1" showErrorMessage="1" sqref="C2" xr:uid="{00000000-0002-0000-0000-000000000000}">
      <formula1>"Summer,Winter"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defaultColWidth="12.6328125" defaultRowHeight="15" customHeight="1"/>
  <cols>
    <col min="1" max="1" width="4.90625" customWidth="1"/>
    <col min="2" max="3" width="34.7265625" customWidth="1"/>
    <col min="4" max="4" width="18.26953125" customWidth="1"/>
    <col min="5" max="5" width="1.6328125" customWidth="1"/>
    <col min="6" max="10" width="8.6328125" customWidth="1"/>
    <col min="11" max="11" width="9.36328125" customWidth="1"/>
    <col min="12" max="14" width="8.6328125" customWidth="1"/>
    <col min="15" max="15" width="18.6328125" customWidth="1"/>
    <col min="16" max="26" width="8.6328125" customWidth="1"/>
  </cols>
  <sheetData>
    <row r="1" spans="1:26" ht="14.5">
      <c r="C1" s="1"/>
      <c r="D1" s="2"/>
    </row>
    <row r="2" spans="1:26" ht="14.5">
      <c r="B2" s="3" t="s">
        <v>0</v>
      </c>
      <c r="C2" s="4" t="s">
        <v>1</v>
      </c>
      <c r="D2" s="2"/>
    </row>
    <row r="3" spans="1:26" ht="14.5">
      <c r="B3" s="5"/>
      <c r="D3" s="2"/>
    </row>
    <row r="4" spans="1:26" ht="14.5">
      <c r="B4" s="6">
        <f>SUMIFS(D17:D94, C17:C94, "&lt;=14")</f>
        <v>1310.3399999999999</v>
      </c>
      <c r="C4" s="7" t="s">
        <v>2</v>
      </c>
      <c r="D4" s="2"/>
    </row>
    <row r="5" spans="1:26" ht="14.5">
      <c r="B5" s="6">
        <f>SUMIFS(D17:D94, C17:C94, "&gt;=15")</f>
        <v>4864.4399999999996</v>
      </c>
      <c r="C5" s="7" t="s">
        <v>3</v>
      </c>
      <c r="D5" s="2"/>
    </row>
    <row r="6" spans="1:26" ht="14.5">
      <c r="C6" s="1"/>
      <c r="P6" s="10">
        <f>SUM(P7:P50)</f>
        <v>-350.71000000000004</v>
      </c>
    </row>
    <row r="7" spans="1:26" ht="21">
      <c r="B7" s="8" t="s">
        <v>4</v>
      </c>
      <c r="C7" s="9" t="s">
        <v>5</v>
      </c>
      <c r="D7" s="8" t="s">
        <v>6</v>
      </c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O7" s="24" t="s">
        <v>67</v>
      </c>
      <c r="P7" s="24">
        <v>0</v>
      </c>
      <c r="Q7" s="24">
        <v>795.49</v>
      </c>
    </row>
    <row r="8" spans="1:26" ht="14.5">
      <c r="B8" s="10" t="s">
        <v>9</v>
      </c>
      <c r="C8" s="1">
        <v>15</v>
      </c>
      <c r="D8" s="2">
        <v>3500.73</v>
      </c>
      <c r="F8" s="10" t="b">
        <f t="shared" ref="F8:F94" si="0">NOT(ISBLANK(C8))</f>
        <v>1</v>
      </c>
      <c r="G8" s="10" t="str">
        <f ca="1">IFERROR(__xludf.DUMMYFUNCTION("FILTER($B$8:$D$94, $F$8:$F$94)"),"CVS Income")</f>
        <v>CVS Income</v>
      </c>
      <c r="H8" s="10">
        <f ca="1">IFERROR(__xludf.DUMMYFUNCTION("""COMPUTED_VALUE"""),15)</f>
        <v>15</v>
      </c>
      <c r="I8" s="25">
        <f ca="1">IFERROR(__xludf.DUMMYFUNCTION("""COMPUTED_VALUE"""),3500.73)</f>
        <v>3500.73</v>
      </c>
      <c r="J8" s="25">
        <f t="shared" ref="J8:J94" ca="1" si="1">IF(ISERROR(MATCH(G8, $B$8:$B$12, 0)), -1*I8,I8)</f>
        <v>3500.73</v>
      </c>
      <c r="K8" s="11">
        <f ca="1">DATE(2025, Cashflow!$D$2, $H8)</f>
        <v>45945</v>
      </c>
      <c r="O8" s="26" t="s">
        <v>68</v>
      </c>
      <c r="P8" s="26">
        <v>773.71</v>
      </c>
      <c r="Q8" s="24"/>
    </row>
    <row r="9" spans="1:26" ht="14.5">
      <c r="B9" s="10" t="s">
        <v>9</v>
      </c>
      <c r="C9" s="1">
        <v>30</v>
      </c>
      <c r="D9" s="2">
        <v>3500.73</v>
      </c>
      <c r="F9" s="10" t="b">
        <f t="shared" si="0"/>
        <v>1</v>
      </c>
      <c r="G9" s="10" t="str">
        <f ca="1">IFERROR(__xludf.DUMMYFUNCTION("""COMPUTED_VALUE"""),"CVS Income")</f>
        <v>CVS Income</v>
      </c>
      <c r="H9" s="10">
        <f ca="1">IFERROR(__xludf.DUMMYFUNCTION("""COMPUTED_VALUE"""),30)</f>
        <v>30</v>
      </c>
      <c r="I9" s="25">
        <f ca="1">IFERROR(__xludf.DUMMYFUNCTION("""COMPUTED_VALUE"""),3500.73)</f>
        <v>3500.73</v>
      </c>
      <c r="J9" s="25">
        <f t="shared" ca="1" si="1"/>
        <v>3500.73</v>
      </c>
      <c r="K9" s="11">
        <f ca="1">DATE(2025, Cashflow!$D$2, $H9)</f>
        <v>45960</v>
      </c>
      <c r="O9" s="26" t="s">
        <v>69</v>
      </c>
      <c r="P9" s="26">
        <v>682.5</v>
      </c>
      <c r="Q9" s="24"/>
    </row>
    <row r="10" spans="1:26" ht="14.5">
      <c r="B10" s="10" t="s">
        <v>10</v>
      </c>
      <c r="C10" s="1">
        <v>25</v>
      </c>
      <c r="D10" s="12"/>
      <c r="F10" s="10" t="b">
        <f t="shared" si="0"/>
        <v>1</v>
      </c>
      <c r="G10" s="10" t="str">
        <f ca="1">IFERROR(__xludf.DUMMYFUNCTION("""COMPUTED_VALUE"""),"Apt 2 Rent")</f>
        <v>Apt 2 Rent</v>
      </c>
      <c r="H10" s="10">
        <f ca="1">IFERROR(__xludf.DUMMYFUNCTION("""COMPUTED_VALUE"""),25)</f>
        <v>25</v>
      </c>
      <c r="I10" s="25"/>
      <c r="J10" s="25">
        <f t="shared" ca="1" si="1"/>
        <v>0</v>
      </c>
      <c r="K10" s="11">
        <f ca="1">DATE(2025, Cashflow!$D$2, $H10)</f>
        <v>45955</v>
      </c>
      <c r="O10" s="27" t="s">
        <v>70</v>
      </c>
      <c r="P10" s="28"/>
      <c r="Q10" s="24"/>
      <c r="S10" s="24"/>
    </row>
    <row r="11" spans="1:26" ht="14.5">
      <c r="B11" s="10" t="s">
        <v>11</v>
      </c>
      <c r="C11" s="1">
        <v>31</v>
      </c>
      <c r="D11" s="12"/>
      <c r="F11" s="10" t="b">
        <f t="shared" si="0"/>
        <v>1</v>
      </c>
      <c r="G11" s="10" t="str">
        <f ca="1">IFERROR(__xludf.DUMMYFUNCTION("""COMPUTED_VALUE"""),"Apt 3 Rent")</f>
        <v>Apt 3 Rent</v>
      </c>
      <c r="H11" s="10">
        <f ca="1">IFERROR(__xludf.DUMMYFUNCTION("""COMPUTED_VALUE"""),31)</f>
        <v>31</v>
      </c>
      <c r="I11" s="25"/>
      <c r="J11" s="25">
        <f t="shared" ca="1" si="1"/>
        <v>0</v>
      </c>
      <c r="K11" s="11">
        <f ca="1">DATE(2025, Cashflow!$D$2, $H11)</f>
        <v>45961</v>
      </c>
      <c r="O11" s="27" t="s">
        <v>70</v>
      </c>
      <c r="P11" s="28">
        <v>2303.67</v>
      </c>
    </row>
    <row r="12" spans="1:26" ht="14.5">
      <c r="B12" s="10" t="s">
        <v>12</v>
      </c>
      <c r="C12" s="1"/>
      <c r="D12" s="2">
        <v>0</v>
      </c>
      <c r="F12" s="10" t="b">
        <f t="shared" si="0"/>
        <v>0</v>
      </c>
      <c r="G12" s="10" t="str">
        <f ca="1">IFERROR(__xludf.DUMMYFUNCTION("""COMPUTED_VALUE"""),"BOA Customized Rewards")</f>
        <v>BOA Customized Rewards</v>
      </c>
      <c r="H12" s="10">
        <f ca="1">IFERROR(__xludf.DUMMYFUNCTION("""COMPUTED_VALUE"""),9)</f>
        <v>9</v>
      </c>
      <c r="I12" s="25">
        <f ca="1">IFERROR(__xludf.DUMMYFUNCTION("""COMPUTED_VALUE"""),61)</f>
        <v>61</v>
      </c>
      <c r="J12" s="10">
        <f t="shared" ca="1" si="1"/>
        <v>-61</v>
      </c>
      <c r="K12" s="11">
        <f ca="1">DATE(2025, Cashflow!$D$2, $H12)</f>
        <v>45939</v>
      </c>
      <c r="O12" s="26" t="s">
        <v>71</v>
      </c>
      <c r="P12" s="26">
        <v>464.43</v>
      </c>
    </row>
    <row r="13" spans="1:26" ht="8.25" customHeight="1">
      <c r="B13" s="13"/>
      <c r="C13" s="14"/>
      <c r="D13" s="15"/>
      <c r="F13" s="10" t="b">
        <f t="shared" si="0"/>
        <v>0</v>
      </c>
      <c r="G13" s="10" t="str">
        <f ca="1">IFERROR(__xludf.DUMMYFUNCTION("""COMPUTED_VALUE"""),"BOA Unlimited Rewards")</f>
        <v>BOA Unlimited Rewards</v>
      </c>
      <c r="H13" s="10">
        <f ca="1">IFERROR(__xludf.DUMMYFUNCTION("""COMPUTED_VALUE"""),4)</f>
        <v>4</v>
      </c>
      <c r="I13" s="25">
        <f ca="1">IFERROR(__xludf.DUMMYFUNCTION("""COMPUTED_VALUE"""),35)</f>
        <v>35</v>
      </c>
      <c r="J13" s="10">
        <f t="shared" ca="1" si="1"/>
        <v>-35</v>
      </c>
      <c r="K13" s="11">
        <f ca="1">DATE(2025, Cashflow!$D$2, $H13)</f>
        <v>45934</v>
      </c>
    </row>
    <row r="14" spans="1:26" ht="23.5">
      <c r="A14" s="16"/>
      <c r="B14" s="17" t="s">
        <v>13</v>
      </c>
      <c r="C14" s="18"/>
      <c r="D14" s="19">
        <f>SUM(D8:D12)</f>
        <v>7001.46</v>
      </c>
      <c r="E14" s="16"/>
      <c r="F14" s="10" t="b">
        <f t="shared" si="0"/>
        <v>0</v>
      </c>
      <c r="G14" s="10" t="str">
        <f ca="1">IFERROR(__xludf.DUMMYFUNCTION("""COMPUTED_VALUE"""),"CHASE Freedom")</f>
        <v>CHASE Freedom</v>
      </c>
      <c r="H14" s="10">
        <f ca="1">IFERROR(__xludf.DUMMYFUNCTION("""COMPUTED_VALUE"""),15)</f>
        <v>15</v>
      </c>
      <c r="I14" s="25">
        <f ca="1">IFERROR(__xludf.DUMMYFUNCTION("""COMPUTED_VALUE"""),440)</f>
        <v>440</v>
      </c>
      <c r="J14" s="10">
        <f t="shared" ca="1" si="1"/>
        <v>-440</v>
      </c>
      <c r="K14" s="11">
        <f ca="1">DATE(2025, Cashflow!$D$2, $H14)</f>
        <v>45945</v>
      </c>
      <c r="L14" s="16"/>
      <c r="M14" s="16"/>
      <c r="N14" s="16"/>
      <c r="O14" s="26" t="s">
        <v>72</v>
      </c>
      <c r="P14" s="26">
        <v>576.78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8.25" customHeight="1">
      <c r="B15" s="13"/>
      <c r="C15" s="14"/>
      <c r="D15" s="15"/>
      <c r="F15" s="10" t="b">
        <f t="shared" si="0"/>
        <v>0</v>
      </c>
      <c r="G15" s="10" t="str">
        <f ca="1">IFERROR(__xludf.DUMMYFUNCTION("""COMPUTED_VALUE"""),"CHASE Brittany")</f>
        <v>CHASE Brittany</v>
      </c>
      <c r="H15" s="10">
        <f ca="1">IFERROR(__xludf.DUMMYFUNCTION("""COMPUTED_VALUE"""),17)</f>
        <v>17</v>
      </c>
      <c r="I15" s="25">
        <f ca="1">IFERROR(__xludf.DUMMYFUNCTION("""COMPUTED_VALUE"""),125)</f>
        <v>125</v>
      </c>
      <c r="J15" s="10">
        <f t="shared" ca="1" si="1"/>
        <v>-125</v>
      </c>
      <c r="K15" s="11">
        <f ca="1">DATE(2025, Cashflow!$D$2, $H15)</f>
        <v>45947</v>
      </c>
      <c r="O15" s="24"/>
      <c r="P15" s="24"/>
    </row>
    <row r="16" spans="1:26" ht="18.5">
      <c r="B16" s="105" t="s">
        <v>14</v>
      </c>
      <c r="C16" s="106"/>
      <c r="D16" s="106"/>
      <c r="F16" s="10" t="b">
        <f t="shared" si="0"/>
        <v>0</v>
      </c>
      <c r="G16" s="10" t="str">
        <f ca="1">IFERROR(__xludf.DUMMYFUNCTION("""COMPUTED_VALUE"""),"CITI Diamond Preferred")</f>
        <v>CITI Diamond Preferred</v>
      </c>
      <c r="H16" s="10">
        <f ca="1">IFERROR(__xludf.DUMMYFUNCTION("""COMPUTED_VALUE"""),15)</f>
        <v>15</v>
      </c>
      <c r="I16" s="25">
        <f ca="1">IFERROR(__xludf.DUMMYFUNCTION("""COMPUTED_VALUE"""),120)</f>
        <v>120</v>
      </c>
      <c r="J16" s="10">
        <f t="shared" ca="1" si="1"/>
        <v>-120</v>
      </c>
      <c r="K16" s="11">
        <f ca="1">DATE(2025, Cashflow!$D$2, $H16)</f>
        <v>45945</v>
      </c>
      <c r="O16" s="24" t="s">
        <v>73</v>
      </c>
      <c r="P16" s="24">
        <v>-571.45000000000005</v>
      </c>
    </row>
    <row r="17" spans="1:16" ht="14.5">
      <c r="A17" s="20" t="b">
        <v>1</v>
      </c>
      <c r="B17" s="10" t="s">
        <v>15</v>
      </c>
      <c r="C17" s="1">
        <v>9</v>
      </c>
      <c r="D17" s="2">
        <v>61</v>
      </c>
      <c r="F17" s="10" t="b">
        <f t="shared" si="0"/>
        <v>1</v>
      </c>
      <c r="G17" s="10" t="str">
        <f ca="1">IFERROR(__xludf.DUMMYFUNCTION("""COMPUTED_VALUE"""),"CITIZENS Clear Value")</f>
        <v>CITIZENS Clear Value</v>
      </c>
      <c r="H17" s="10">
        <f ca="1">IFERROR(__xludf.DUMMYFUNCTION("""COMPUTED_VALUE"""),13)</f>
        <v>13</v>
      </c>
      <c r="I17" s="25">
        <f ca="1">IFERROR(__xludf.DUMMYFUNCTION("""COMPUTED_VALUE"""),64)</f>
        <v>64</v>
      </c>
      <c r="J17" s="10">
        <f t="shared" ca="1" si="1"/>
        <v>-64</v>
      </c>
      <c r="K17" s="11">
        <f ca="1">DATE(2025, Cashflow!$D$2, $H17)</f>
        <v>45943</v>
      </c>
      <c r="O17" s="24" t="s">
        <v>74</v>
      </c>
      <c r="P17" s="24">
        <v>-4580.3500000000004</v>
      </c>
    </row>
    <row r="18" spans="1:16" ht="14.5">
      <c r="A18" s="20" t="b">
        <v>1</v>
      </c>
      <c r="B18" s="10" t="s">
        <v>16</v>
      </c>
      <c r="C18" s="1">
        <v>4</v>
      </c>
      <c r="D18" s="2">
        <v>35</v>
      </c>
      <c r="F18" s="10" t="b">
        <f t="shared" si="0"/>
        <v>1</v>
      </c>
      <c r="G18" s="10" t="str">
        <f ca="1">IFERROR(__xludf.DUMMYFUNCTION("""COMPUTED_VALUE"""),"CITIZENS Mortgage")</f>
        <v>CITIZENS Mortgage</v>
      </c>
      <c r="H18" s="10">
        <f ca="1">IFERROR(__xludf.DUMMYFUNCTION("""COMPUTED_VALUE"""),1)</f>
        <v>1</v>
      </c>
      <c r="I18" s="25">
        <f ca="1">IFERROR(__xludf.DUMMYFUNCTION("""COMPUTED_VALUE"""),0)</f>
        <v>0</v>
      </c>
      <c r="J18" s="10">
        <f t="shared" ca="1" si="1"/>
        <v>0</v>
      </c>
      <c r="K18" s="11">
        <f ca="1">DATE(2025, Cashflow!$D$2, $H18)</f>
        <v>45931</v>
      </c>
      <c r="O18" s="24"/>
      <c r="P18" s="24"/>
    </row>
    <row r="19" spans="1:16" ht="14.5">
      <c r="A19" s="20" t="b">
        <v>0</v>
      </c>
      <c r="B19" s="10" t="s">
        <v>17</v>
      </c>
      <c r="C19" s="1">
        <v>15</v>
      </c>
      <c r="D19" s="2">
        <v>440</v>
      </c>
      <c r="F19" s="10" t="b">
        <f t="shared" si="0"/>
        <v>1</v>
      </c>
      <c r="G19" s="10" t="str">
        <f ca="1">IFERROR(__xludf.DUMMYFUNCTION("""COMPUTED_VALUE"""),"UPSTART Debt Consolidation")</f>
        <v>UPSTART Debt Consolidation</v>
      </c>
      <c r="H19" s="10">
        <f ca="1">IFERROR(__xludf.DUMMYFUNCTION("""COMPUTED_VALUE"""),15)</f>
        <v>15</v>
      </c>
      <c r="I19" s="25">
        <f ca="1">IFERROR(__xludf.DUMMYFUNCTION("""COMPUTED_VALUE"""),181.13)</f>
        <v>181.13</v>
      </c>
      <c r="J19" s="10">
        <f t="shared" ca="1" si="1"/>
        <v>-181.13</v>
      </c>
      <c r="K19" s="11">
        <f ca="1">DATE(2025, Cashflow!$D$2, $H19)</f>
        <v>45945</v>
      </c>
      <c r="O19" s="24"/>
      <c r="P19" s="24"/>
    </row>
    <row r="20" spans="1:16" ht="14.5">
      <c r="A20" s="20" t="b">
        <v>0</v>
      </c>
      <c r="B20" s="10" t="s">
        <v>18</v>
      </c>
      <c r="C20" s="1">
        <v>17</v>
      </c>
      <c r="D20" s="2">
        <v>125</v>
      </c>
      <c r="F20" s="10" t="b">
        <f t="shared" si="0"/>
        <v>1</v>
      </c>
      <c r="G20" s="10" t="str">
        <f ca="1">IFERROR(__xludf.DUMMYFUNCTION("""COMPUTED_VALUE"""),"LIGHTSTREAM Renovation")</f>
        <v>LIGHTSTREAM Renovation</v>
      </c>
      <c r="H20" s="10">
        <f ca="1">IFERROR(__xludf.DUMMYFUNCTION("""COMPUTED_VALUE"""),15)</f>
        <v>15</v>
      </c>
      <c r="I20" s="25">
        <f ca="1">IFERROR(__xludf.DUMMYFUNCTION("""COMPUTED_VALUE"""),525.13)</f>
        <v>525.13</v>
      </c>
      <c r="J20" s="10">
        <f t="shared" ca="1" si="1"/>
        <v>-525.13</v>
      </c>
      <c r="K20" s="11">
        <f ca="1">DATE(2025, Cashflow!$D$2, $H20)</f>
        <v>45945</v>
      </c>
      <c r="O20" s="24"/>
      <c r="P20" s="24"/>
    </row>
    <row r="21" spans="1:16" ht="15.75" customHeight="1">
      <c r="A21" s="20" t="b">
        <v>0</v>
      </c>
      <c r="B21" s="10" t="s">
        <v>19</v>
      </c>
      <c r="C21" s="1">
        <v>15</v>
      </c>
      <c r="D21" s="2">
        <v>120</v>
      </c>
      <c r="F21" s="10" t="b">
        <f t="shared" si="0"/>
        <v>1</v>
      </c>
      <c r="G21" s="10" t="str">
        <f ca="1">IFERROR(__xludf.DUMMYFUNCTION("""COMPUTED_VALUE"""),"AFFIRM Photography")</f>
        <v>AFFIRM Photography</v>
      </c>
      <c r="H21" s="10">
        <f ca="1">IFERROR(__xludf.DUMMYFUNCTION("""COMPUTED_VALUE"""),21)</f>
        <v>21</v>
      </c>
      <c r="I21" s="25">
        <f ca="1">IFERROR(__xludf.DUMMYFUNCTION("""COMPUTED_VALUE"""),235.17)</f>
        <v>235.17</v>
      </c>
      <c r="J21" s="10">
        <f t="shared" ca="1" si="1"/>
        <v>-235.17</v>
      </c>
      <c r="K21" s="11">
        <f ca="1">DATE(2025, Cashflow!$D$2, $H21)</f>
        <v>45951</v>
      </c>
      <c r="O21" s="24"/>
      <c r="P21" s="24"/>
    </row>
    <row r="22" spans="1:16" ht="15.75" customHeight="1">
      <c r="A22" s="20" t="b">
        <v>1</v>
      </c>
      <c r="B22" s="10" t="s">
        <v>20</v>
      </c>
      <c r="C22" s="1">
        <v>13</v>
      </c>
      <c r="D22" s="2">
        <v>64</v>
      </c>
      <c r="F22" s="10" t="b">
        <f t="shared" si="0"/>
        <v>1</v>
      </c>
      <c r="G22" s="10" t="str">
        <f ca="1">IFERROR(__xludf.DUMMYFUNCTION("""COMPUTED_VALUE"""),"CONNEX Auto Loan")</f>
        <v>CONNEX Auto Loan</v>
      </c>
      <c r="H22" s="10">
        <f ca="1">IFERROR(__xludf.DUMMYFUNCTION("""COMPUTED_VALUE"""),17)</f>
        <v>17</v>
      </c>
      <c r="I22" s="25">
        <f ca="1">IFERROR(__xludf.DUMMYFUNCTION("""COMPUTED_VALUE"""),878.54)</f>
        <v>878.54</v>
      </c>
      <c r="J22" s="10">
        <f t="shared" ca="1" si="1"/>
        <v>-878.54</v>
      </c>
      <c r="K22" s="11">
        <f ca="1">DATE(2025, Cashflow!$D$2, $H22)</f>
        <v>45947</v>
      </c>
      <c r="O22" s="24"/>
      <c r="P22" s="24"/>
    </row>
    <row r="23" spans="1:16" ht="8.25" customHeight="1">
      <c r="B23" s="13"/>
      <c r="C23" s="14"/>
      <c r="D23" s="15"/>
      <c r="F23" s="10" t="b">
        <f t="shared" si="0"/>
        <v>0</v>
      </c>
      <c r="G23" s="10" t="str">
        <f ca="1">IFERROR(__xludf.DUMMYFUNCTION("""COMPUTED_VALUE"""),"Owner Contribution to Mortgage")</f>
        <v>Owner Contribution to Mortgage</v>
      </c>
      <c r="H23" s="10">
        <f ca="1">IFERROR(__xludf.DUMMYFUNCTION("""COMPUTED_VALUE"""),1)</f>
        <v>1</v>
      </c>
      <c r="I23" s="25">
        <f ca="1">IFERROR(__xludf.DUMMYFUNCTION("""COMPUTED_VALUE"""),146.54)</f>
        <v>146.54</v>
      </c>
      <c r="J23" s="10">
        <f t="shared" ca="1" si="1"/>
        <v>-146.54</v>
      </c>
      <c r="K23" s="11">
        <f ca="1">DATE(2025, Cashflow!$D$2, $H23)</f>
        <v>45931</v>
      </c>
      <c r="O23" s="24"/>
      <c r="P23" s="24"/>
    </row>
    <row r="24" spans="1:16" ht="15.75" customHeight="1">
      <c r="B24" s="105" t="s">
        <v>21</v>
      </c>
      <c r="C24" s="106"/>
      <c r="D24" s="106"/>
      <c r="F24" s="10" t="b">
        <f t="shared" si="0"/>
        <v>0</v>
      </c>
      <c r="G24" s="10" t="str">
        <f ca="1">IFERROR(__xludf.DUMMYFUNCTION("""COMPUTED_VALUE"""),"Landlord Electricity")</f>
        <v>Landlord Electricity</v>
      </c>
      <c r="H24" s="10">
        <f ca="1">IFERROR(__xludf.DUMMYFUNCTION("""COMPUTED_VALUE"""),18)</f>
        <v>18</v>
      </c>
      <c r="I24" s="25">
        <f ca="1">IFERROR(__xludf.DUMMYFUNCTION("""COMPUTED_VALUE"""),33.16)</f>
        <v>33.159999999999997</v>
      </c>
      <c r="J24" s="10">
        <f t="shared" ca="1" si="1"/>
        <v>-33.159999999999997</v>
      </c>
      <c r="K24" s="11">
        <f ca="1">DATE(2025, Cashflow!$D$2, $H24)</f>
        <v>45948</v>
      </c>
      <c r="O24" s="24"/>
      <c r="P24" s="24"/>
    </row>
    <row r="25" spans="1:16" ht="15.75" customHeight="1">
      <c r="A25" s="20" t="b">
        <v>1</v>
      </c>
      <c r="B25" s="10" t="s">
        <v>22</v>
      </c>
      <c r="C25" s="1">
        <v>1</v>
      </c>
      <c r="D25" s="12">
        <v>0</v>
      </c>
      <c r="F25" s="10" t="b">
        <f t="shared" si="0"/>
        <v>1</v>
      </c>
      <c r="G25" s="10" t="str">
        <f ca="1">IFERROR(__xludf.DUMMYFUNCTION("""COMPUTED_VALUE"""),"Maintenance (Lawn)")</f>
        <v>Maintenance (Lawn)</v>
      </c>
      <c r="H25" s="10">
        <f ca="1">IFERROR(__xludf.DUMMYFUNCTION("""COMPUTED_VALUE"""),1)</f>
        <v>1</v>
      </c>
      <c r="I25" s="25">
        <f ca="1">IFERROR(__xludf.DUMMYFUNCTION("""COMPUTED_VALUE"""),80)</f>
        <v>80</v>
      </c>
      <c r="J25" s="10">
        <f t="shared" ca="1" si="1"/>
        <v>-80</v>
      </c>
      <c r="K25" s="11">
        <f ca="1">DATE(2025, Cashflow!$D$2, $H25)</f>
        <v>45931</v>
      </c>
    </row>
    <row r="26" spans="1:16" ht="15.75" customHeight="1">
      <c r="A26" s="20" t="b">
        <v>0</v>
      </c>
      <c r="B26" s="10" t="s">
        <v>23</v>
      </c>
      <c r="C26" s="1">
        <v>15</v>
      </c>
      <c r="D26" s="2">
        <v>181.13</v>
      </c>
      <c r="F26" s="10" t="b">
        <f t="shared" si="0"/>
        <v>1</v>
      </c>
      <c r="G26" s="10" t="str">
        <f ca="1">IFERROR(__xludf.DUMMYFUNCTION("""COMPUTED_VALUE"""),"Maintenance (Lawn)")</f>
        <v>Maintenance (Lawn)</v>
      </c>
      <c r="H26" s="10">
        <f ca="1">IFERROR(__xludf.DUMMYFUNCTION("""COMPUTED_VALUE"""),15)</f>
        <v>15</v>
      </c>
      <c r="I26" s="25">
        <f ca="1">IFERROR(__xludf.DUMMYFUNCTION("""COMPUTED_VALUE"""),80)</f>
        <v>80</v>
      </c>
      <c r="J26" s="10">
        <f t="shared" ca="1" si="1"/>
        <v>-80</v>
      </c>
      <c r="K26" s="11">
        <f ca="1">DATE(2025, Cashflow!$D$2, $H26)</f>
        <v>45945</v>
      </c>
    </row>
    <row r="27" spans="1:16" ht="15.75" customHeight="1">
      <c r="A27" s="20" t="b">
        <v>0</v>
      </c>
      <c r="B27" s="10" t="s">
        <v>24</v>
      </c>
      <c r="C27" s="1">
        <v>15</v>
      </c>
      <c r="D27" s="2">
        <v>525.13</v>
      </c>
      <c r="F27" s="10" t="b">
        <f t="shared" si="0"/>
        <v>1</v>
      </c>
      <c r="G27" s="10" t="str">
        <f ca="1">IFERROR(__xludf.DUMMYFUNCTION("""COMPUTED_VALUE"""),"Maintenance (Lawn)")</f>
        <v>Maintenance (Lawn)</v>
      </c>
      <c r="H27" s="10">
        <f ca="1">IFERROR(__xludf.DUMMYFUNCTION("""COMPUTED_VALUE"""),29)</f>
        <v>29</v>
      </c>
      <c r="I27" s="25">
        <f ca="1">IFERROR(__xludf.DUMMYFUNCTION("""COMPUTED_VALUE"""),80)</f>
        <v>80</v>
      </c>
      <c r="J27" s="10">
        <f t="shared" ca="1" si="1"/>
        <v>-80</v>
      </c>
      <c r="K27" s="11">
        <f ca="1">DATE(2025, Cashflow!$D$2, $H27)</f>
        <v>45959</v>
      </c>
    </row>
    <row r="28" spans="1:16" ht="15.75" customHeight="1">
      <c r="A28" s="20" t="b">
        <v>0</v>
      </c>
      <c r="B28" s="10" t="s">
        <v>25</v>
      </c>
      <c r="C28" s="1">
        <v>21</v>
      </c>
      <c r="D28" s="2">
        <v>235.17</v>
      </c>
      <c r="F28" s="10" t="b">
        <f t="shared" si="0"/>
        <v>1</v>
      </c>
      <c r="G28" s="10" t="str">
        <f ca="1">IFERROR(__xludf.DUMMYFUNCTION("""COMPUTED_VALUE"""),"Blink Security")</f>
        <v>Blink Security</v>
      </c>
      <c r="H28" s="10">
        <f ca="1">IFERROR(__xludf.DUMMYFUNCTION("""COMPUTED_VALUE"""),5)</f>
        <v>5</v>
      </c>
      <c r="I28" s="25">
        <f ca="1">IFERROR(__xludf.DUMMYFUNCTION("""COMPUTED_VALUE"""),10.64)</f>
        <v>10.64</v>
      </c>
      <c r="J28" s="10">
        <f t="shared" ca="1" si="1"/>
        <v>-10.64</v>
      </c>
      <c r="K28" s="11">
        <f ca="1">DATE(2025, Cashflow!$D$2, $H28)</f>
        <v>45935</v>
      </c>
    </row>
    <row r="29" spans="1:16" ht="15.75" customHeight="1">
      <c r="A29" s="20" t="b">
        <v>0</v>
      </c>
      <c r="B29" s="10" t="s">
        <v>26</v>
      </c>
      <c r="C29" s="1"/>
      <c r="D29" s="2">
        <v>268.44</v>
      </c>
      <c r="F29" s="10" t="b">
        <f t="shared" si="0"/>
        <v>0</v>
      </c>
      <c r="G29" s="10" t="str">
        <f ca="1">IFERROR(__xludf.DUMMYFUNCTION("""COMPUTED_VALUE"""),"Avail Portal")</f>
        <v>Avail Portal</v>
      </c>
      <c r="H29" s="10">
        <f ca="1">IFERROR(__xludf.DUMMYFUNCTION("""COMPUTED_VALUE"""),16)</f>
        <v>16</v>
      </c>
      <c r="I29" s="25">
        <f ca="1">IFERROR(__xludf.DUMMYFUNCTION("""COMPUTED_VALUE"""),18)</f>
        <v>18</v>
      </c>
      <c r="J29" s="10">
        <f t="shared" ca="1" si="1"/>
        <v>-18</v>
      </c>
      <c r="K29" s="11">
        <f ca="1">DATE(2025, Cashflow!$D$2, $H29)</f>
        <v>45946</v>
      </c>
    </row>
    <row r="30" spans="1:16" ht="15.75" customHeight="1">
      <c r="A30" s="20" t="b">
        <v>0</v>
      </c>
      <c r="B30" s="10" t="s">
        <v>27</v>
      </c>
      <c r="C30" s="1">
        <v>17</v>
      </c>
      <c r="D30" s="2">
        <v>878.54</v>
      </c>
      <c r="F30" s="10" t="b">
        <f t="shared" si="0"/>
        <v>1</v>
      </c>
      <c r="G30" s="10" t="str">
        <f ca="1">IFERROR(__xludf.DUMMYFUNCTION("""COMPUTED_VALUE"""),"Auto Insurance")</f>
        <v>Auto Insurance</v>
      </c>
      <c r="H30" s="10">
        <f ca="1">IFERROR(__xludf.DUMMYFUNCTION("""COMPUTED_VALUE"""),4)</f>
        <v>4</v>
      </c>
      <c r="I30" s="25">
        <f ca="1">IFERROR(__xludf.DUMMYFUNCTION("""COMPUTED_VALUE"""),243.49)</f>
        <v>243.49</v>
      </c>
      <c r="J30" s="10">
        <f t="shared" ca="1" si="1"/>
        <v>-243.49</v>
      </c>
      <c r="K30" s="11">
        <f ca="1">DATE(2025, Cashflow!$D$2, $H30)</f>
        <v>45934</v>
      </c>
    </row>
    <row r="31" spans="1:16" ht="15.75" customHeight="1">
      <c r="A31" s="20" t="b">
        <v>0</v>
      </c>
      <c r="B31" s="10" t="s">
        <v>28</v>
      </c>
      <c r="C31" s="1"/>
      <c r="D31" s="2"/>
      <c r="F31" s="10" t="b">
        <f t="shared" si="0"/>
        <v>0</v>
      </c>
      <c r="G31" s="10" t="str">
        <f ca="1">IFERROR(__xludf.DUMMYFUNCTION("""COMPUTED_VALUE"""),"Auto Taxes (Monthly)")</f>
        <v>Auto Taxes (Monthly)</v>
      </c>
      <c r="H31" s="10">
        <f ca="1">IFERROR(__xludf.DUMMYFUNCTION("""COMPUTED_VALUE"""),1)</f>
        <v>1</v>
      </c>
      <c r="I31" s="25">
        <f ca="1">IFERROR(__xludf.DUMMYFUNCTION("""COMPUTED_VALUE"""),0)</f>
        <v>0</v>
      </c>
      <c r="J31" s="10">
        <f t="shared" ca="1" si="1"/>
        <v>0</v>
      </c>
      <c r="K31" s="11">
        <f ca="1">DATE(2025, Cashflow!$D$2, $H31)</f>
        <v>45931</v>
      </c>
    </row>
    <row r="32" spans="1:16" ht="8.25" customHeight="1">
      <c r="B32" s="13"/>
      <c r="C32" s="14"/>
      <c r="D32" s="15"/>
      <c r="F32" s="10" t="b">
        <f t="shared" si="0"/>
        <v>0</v>
      </c>
      <c r="G32" s="10" t="str">
        <f ca="1">IFERROR(__xludf.DUMMYFUNCTION("""COMPUTED_VALUE"""),"Heating/Natural Gas")</f>
        <v>Heating/Natural Gas</v>
      </c>
      <c r="H32" s="10">
        <f ca="1">IFERROR(__xludf.DUMMYFUNCTION("""COMPUTED_VALUE"""),23)</f>
        <v>23</v>
      </c>
      <c r="I32" s="25">
        <f ca="1">IFERROR(__xludf.DUMMYFUNCTION("""COMPUTED_VALUE"""),260.73)</f>
        <v>260.73</v>
      </c>
      <c r="J32" s="10">
        <f t="shared" ca="1" si="1"/>
        <v>-260.73</v>
      </c>
      <c r="K32" s="11">
        <f ca="1">DATE(2025, Cashflow!$D$2, $H32)</f>
        <v>45953</v>
      </c>
    </row>
    <row r="33" spans="1:11" ht="15.75" customHeight="1">
      <c r="B33" s="105" t="s">
        <v>29</v>
      </c>
      <c r="C33" s="106"/>
      <c r="D33" s="106"/>
      <c r="F33" s="10" t="b">
        <f t="shared" si="0"/>
        <v>0</v>
      </c>
      <c r="G33" s="10" t="str">
        <f ca="1">IFERROR(__xludf.DUMMYFUNCTION("""COMPUTED_VALUE"""),"Electricity")</f>
        <v>Electricity</v>
      </c>
      <c r="H33" s="10">
        <f ca="1">IFERROR(__xludf.DUMMYFUNCTION("""COMPUTED_VALUE"""),18)</f>
        <v>18</v>
      </c>
      <c r="I33" s="25">
        <f ca="1">IFERROR(__xludf.DUMMYFUNCTION("""COMPUTED_VALUE"""),199.07)</f>
        <v>199.07</v>
      </c>
      <c r="J33" s="10">
        <f t="shared" ca="1" si="1"/>
        <v>-199.07</v>
      </c>
      <c r="K33" s="11">
        <f ca="1">DATE(2025, Cashflow!$D$2, $H33)</f>
        <v>45948</v>
      </c>
    </row>
    <row r="34" spans="1:11" ht="15.75" customHeight="1">
      <c r="A34" s="20" t="b">
        <v>1</v>
      </c>
      <c r="B34" s="10" t="s">
        <v>30</v>
      </c>
      <c r="C34" s="1">
        <v>1</v>
      </c>
      <c r="D34" s="2">
        <v>146.54</v>
      </c>
      <c r="F34" s="10" t="b">
        <f t="shared" si="0"/>
        <v>1</v>
      </c>
      <c r="G34" s="10" t="str">
        <f ca="1">IFERROR(__xludf.DUMMYFUNCTION("""COMPUTED_VALUE"""),"Internet")</f>
        <v>Internet</v>
      </c>
      <c r="H34" s="10">
        <f ca="1">IFERROR(__xludf.DUMMYFUNCTION("""COMPUTED_VALUE"""),28)</f>
        <v>28</v>
      </c>
      <c r="I34" s="25">
        <f ca="1">IFERROR(__xludf.DUMMYFUNCTION("""COMPUTED_VALUE"""),74.95)</f>
        <v>74.95</v>
      </c>
      <c r="J34" s="10">
        <f t="shared" ca="1" si="1"/>
        <v>-74.95</v>
      </c>
      <c r="K34" s="11">
        <f ca="1">DATE(2025, Cashflow!$D$2, $H34)</f>
        <v>45958</v>
      </c>
    </row>
    <row r="35" spans="1:11" ht="15.75" customHeight="1">
      <c r="A35" s="20" t="b">
        <v>0</v>
      </c>
      <c r="B35" s="10" t="s">
        <v>31</v>
      </c>
      <c r="C35" s="1">
        <v>18</v>
      </c>
      <c r="D35" s="2">
        <v>33.159999999999997</v>
      </c>
      <c r="F35" s="10" t="b">
        <f t="shared" si="0"/>
        <v>1</v>
      </c>
      <c r="G35" s="10" t="str">
        <f ca="1">IFERROR(__xludf.DUMMYFUNCTION("""COMPUTED_VALUE"""),"Life Insurance")</f>
        <v>Life Insurance</v>
      </c>
      <c r="H35" s="10">
        <f ca="1">IFERROR(__xludf.DUMMYFUNCTION("""COMPUTED_VALUE"""),16)</f>
        <v>16</v>
      </c>
      <c r="I35" s="25">
        <f ca="1">IFERROR(__xludf.DUMMYFUNCTION("""COMPUTED_VALUE"""),82.37)</f>
        <v>82.37</v>
      </c>
      <c r="J35" s="10">
        <f t="shared" ca="1" si="1"/>
        <v>-82.37</v>
      </c>
      <c r="K35" s="11">
        <f ca="1">DATE(2025, Cashflow!$D$2, $H35)</f>
        <v>45946</v>
      </c>
    </row>
    <row r="36" spans="1:11" ht="15.75" customHeight="1">
      <c r="A36" s="20" t="b">
        <v>0</v>
      </c>
      <c r="B36" s="10" t="s">
        <v>32</v>
      </c>
      <c r="C36" s="1"/>
      <c r="D36" s="2">
        <v>130</v>
      </c>
      <c r="F36" s="10" t="b">
        <f t="shared" si="0"/>
        <v>0</v>
      </c>
      <c r="G36" s="10" t="str">
        <f ca="1">IFERROR(__xludf.DUMMYFUNCTION("""COMPUTED_VALUE"""),"Groceries + Toiletries")</f>
        <v>Groceries + Toiletries</v>
      </c>
      <c r="H36" s="10">
        <f ca="1">IFERROR(__xludf.DUMMYFUNCTION("""COMPUTED_VALUE"""),1)</f>
        <v>1</v>
      </c>
      <c r="I36" s="25">
        <f ca="1">IFERROR(__xludf.DUMMYFUNCTION("""COMPUTED_VALUE"""),252.58)</f>
        <v>252.58</v>
      </c>
      <c r="J36" s="10">
        <f t="shared" ca="1" si="1"/>
        <v>-252.58</v>
      </c>
      <c r="K36" s="11">
        <f ca="1">DATE(2025, Cashflow!$D$2, $H36)</f>
        <v>45931</v>
      </c>
    </row>
    <row r="37" spans="1:11" ht="15.75" customHeight="1">
      <c r="A37" s="20" t="b">
        <v>1</v>
      </c>
      <c r="B37" s="10" t="s">
        <v>33</v>
      </c>
      <c r="C37" s="1">
        <v>1</v>
      </c>
      <c r="D37" s="2">
        <f t="shared" ref="D37:D39" si="2">IF($C$2="Summer", 80, 0)</f>
        <v>80</v>
      </c>
      <c r="F37" s="10" t="b">
        <f t="shared" si="0"/>
        <v>1</v>
      </c>
      <c r="G37" s="10" t="str">
        <f ca="1">IFERROR(__xludf.DUMMYFUNCTION("""COMPUTED_VALUE"""),"Groceries + Toiletries")</f>
        <v>Groceries + Toiletries</v>
      </c>
      <c r="H37" s="10">
        <f ca="1">IFERROR(__xludf.DUMMYFUNCTION("""COMPUTED_VALUE"""),8)</f>
        <v>8</v>
      </c>
      <c r="I37" s="25">
        <f ca="1">IFERROR(__xludf.DUMMYFUNCTION("""COMPUTED_VALUE"""),248.95)</f>
        <v>248.95</v>
      </c>
      <c r="J37" s="10">
        <f t="shared" ca="1" si="1"/>
        <v>-248.95</v>
      </c>
      <c r="K37" s="11">
        <f ca="1">DATE(2025, Cashflow!$D$2, $H37)</f>
        <v>45938</v>
      </c>
    </row>
    <row r="38" spans="1:11" ht="15.75" customHeight="1">
      <c r="A38" s="20" t="b">
        <v>0</v>
      </c>
      <c r="B38" s="10" t="s">
        <v>33</v>
      </c>
      <c r="C38" s="1">
        <v>15</v>
      </c>
      <c r="D38" s="2">
        <f t="shared" si="2"/>
        <v>80</v>
      </c>
      <c r="F38" s="10" t="b">
        <f t="shared" si="0"/>
        <v>1</v>
      </c>
      <c r="G38" s="10" t="str">
        <f ca="1">IFERROR(__xludf.DUMMYFUNCTION("""COMPUTED_VALUE"""),"Groceries + Toiletries")</f>
        <v>Groceries + Toiletries</v>
      </c>
      <c r="H38" s="10">
        <f ca="1">IFERROR(__xludf.DUMMYFUNCTION("""COMPUTED_VALUE"""),15)</f>
        <v>15</v>
      </c>
      <c r="I38" s="25">
        <f ca="1">IFERROR(__xludf.DUMMYFUNCTION("""COMPUTED_VALUE"""),250)</f>
        <v>250</v>
      </c>
      <c r="J38" s="10">
        <f t="shared" ca="1" si="1"/>
        <v>-250</v>
      </c>
      <c r="K38" s="11">
        <f ca="1">DATE(2025, Cashflow!$D$2, $H38)</f>
        <v>45945</v>
      </c>
    </row>
    <row r="39" spans="1:11" ht="15.75" customHeight="1">
      <c r="A39" s="20" t="b">
        <v>0</v>
      </c>
      <c r="B39" s="10" t="s">
        <v>33</v>
      </c>
      <c r="C39" s="1">
        <v>29</v>
      </c>
      <c r="D39" s="2">
        <f t="shared" si="2"/>
        <v>80</v>
      </c>
      <c r="F39" s="10" t="b">
        <f t="shared" si="0"/>
        <v>1</v>
      </c>
      <c r="G39" s="10" t="str">
        <f ca="1">IFERROR(__xludf.DUMMYFUNCTION("""COMPUTED_VALUE"""),"Groceries + Toiletries")</f>
        <v>Groceries + Toiletries</v>
      </c>
      <c r="H39" s="10">
        <f ca="1">IFERROR(__xludf.DUMMYFUNCTION("""COMPUTED_VALUE"""),22)</f>
        <v>22</v>
      </c>
      <c r="I39" s="25">
        <f ca="1">IFERROR(__xludf.DUMMYFUNCTION("""COMPUTED_VALUE"""),250)</f>
        <v>250</v>
      </c>
      <c r="J39" s="10">
        <f t="shared" ca="1" si="1"/>
        <v>-250</v>
      </c>
      <c r="K39" s="11">
        <f ca="1">DATE(2025, Cashflow!$D$2, $H39)</f>
        <v>45952</v>
      </c>
    </row>
    <row r="40" spans="1:11" ht="15.75" customHeight="1">
      <c r="A40" s="20" t="b">
        <v>1</v>
      </c>
      <c r="B40" s="10" t="s">
        <v>34</v>
      </c>
      <c r="C40" s="1"/>
      <c r="D40" s="2">
        <f>IF($C$2="Winter", 110, 0)</f>
        <v>0</v>
      </c>
      <c r="F40" s="10" t="b">
        <f t="shared" si="0"/>
        <v>0</v>
      </c>
      <c r="G40" s="10" t="str">
        <f ca="1">IFERROR(__xludf.DUMMYFUNCTION("""COMPUTED_VALUE"""),"Groceries + Toiletries")</f>
        <v>Groceries + Toiletries</v>
      </c>
      <c r="H40" s="10">
        <f ca="1">IFERROR(__xludf.DUMMYFUNCTION("""COMPUTED_VALUE"""),29)</f>
        <v>29</v>
      </c>
      <c r="I40" s="25">
        <f ca="1">IFERROR(__xludf.DUMMYFUNCTION("""COMPUTED_VALUE"""),250)</f>
        <v>250</v>
      </c>
      <c r="J40" s="10">
        <f t="shared" ca="1" si="1"/>
        <v>-250</v>
      </c>
      <c r="K40" s="11">
        <f ca="1">DATE(2025, Cashflow!$D$2, $H40)</f>
        <v>45959</v>
      </c>
    </row>
    <row r="41" spans="1:11" ht="15.75" customHeight="1">
      <c r="A41" s="20" t="b">
        <v>1</v>
      </c>
      <c r="B41" s="10" t="s">
        <v>35</v>
      </c>
      <c r="C41" s="1">
        <v>5</v>
      </c>
      <c r="D41" s="2">
        <v>10.64</v>
      </c>
      <c r="F41" s="10" t="b">
        <f t="shared" si="0"/>
        <v>1</v>
      </c>
      <c r="G41" s="10" t="str">
        <f ca="1">IFERROR(__xludf.DUMMYFUNCTION("""COMPUTED_VALUE"""),"Phone (Nykosi)")</f>
        <v>Phone (Nykosi)</v>
      </c>
      <c r="H41" s="10">
        <f ca="1">IFERROR(__xludf.DUMMYFUNCTION("""COMPUTED_VALUE"""),16)</f>
        <v>16</v>
      </c>
      <c r="I41" s="25">
        <f ca="1">IFERROR(__xludf.DUMMYFUNCTION("""COMPUTED_VALUE"""),30)</f>
        <v>30</v>
      </c>
      <c r="J41" s="10">
        <f t="shared" ca="1" si="1"/>
        <v>-30</v>
      </c>
      <c r="K41" s="11">
        <f ca="1">DATE(2025, Cashflow!$D$2, $H41)</f>
        <v>45946</v>
      </c>
    </row>
    <row r="42" spans="1:11" ht="15.75" customHeight="1">
      <c r="A42" s="20" t="b">
        <v>0</v>
      </c>
      <c r="B42" s="10" t="s">
        <v>36</v>
      </c>
      <c r="C42" s="1">
        <v>16</v>
      </c>
      <c r="D42" s="2">
        <v>18</v>
      </c>
      <c r="F42" s="10" t="b">
        <f t="shared" si="0"/>
        <v>1</v>
      </c>
      <c r="G42" s="10" t="str">
        <f ca="1">IFERROR(__xludf.DUMMYFUNCTION("""COMPUTED_VALUE"""),"Phone (Brittany)")</f>
        <v>Phone (Brittany)</v>
      </c>
      <c r="H42" s="10">
        <f ca="1">IFERROR(__xludf.DUMMYFUNCTION("""COMPUTED_VALUE"""),16)</f>
        <v>16</v>
      </c>
      <c r="I42" s="25">
        <f ca="1">IFERROR(__xludf.DUMMYFUNCTION("""COMPUTED_VALUE"""),50)</f>
        <v>50</v>
      </c>
      <c r="J42" s="10">
        <f t="shared" ca="1" si="1"/>
        <v>-50</v>
      </c>
      <c r="K42" s="11">
        <f ca="1">DATE(2025, Cashflow!$D$2, $H42)</f>
        <v>45946</v>
      </c>
    </row>
    <row r="43" spans="1:11" ht="8.25" customHeight="1">
      <c r="B43" s="13"/>
      <c r="C43" s="14"/>
      <c r="D43" s="15"/>
      <c r="F43" s="10" t="b">
        <f t="shared" si="0"/>
        <v>0</v>
      </c>
      <c r="G43" s="10" t="str">
        <f ca="1">IFERROR(__xludf.DUMMYFUNCTION("""COMPUTED_VALUE"""),"Gym Membership (Nykosi)")</f>
        <v>Gym Membership (Nykosi)</v>
      </c>
      <c r="H43" s="10">
        <f ca="1">IFERROR(__xludf.DUMMYFUNCTION("""COMPUTED_VALUE"""),24)</f>
        <v>24</v>
      </c>
      <c r="I43" s="25">
        <f ca="1">IFERROR(__xludf.DUMMYFUNCTION("""COMPUTED_VALUE"""),22.23)</f>
        <v>22.23</v>
      </c>
      <c r="J43" s="10">
        <f t="shared" ca="1" si="1"/>
        <v>-22.23</v>
      </c>
      <c r="K43" s="11">
        <f ca="1">DATE(2025, Cashflow!$D$2, $H43)</f>
        <v>45954</v>
      </c>
    </row>
    <row r="44" spans="1:11" ht="15.75" customHeight="1">
      <c r="B44" s="105" t="s">
        <v>37</v>
      </c>
      <c r="C44" s="106"/>
      <c r="D44" s="106"/>
      <c r="F44" s="10" t="b">
        <f t="shared" si="0"/>
        <v>0</v>
      </c>
      <c r="G44" s="10" t="str">
        <f ca="1">IFERROR(__xludf.DUMMYFUNCTION("""COMPUTED_VALUE"""),"Gym Membership (Brittany)")</f>
        <v>Gym Membership (Brittany)</v>
      </c>
      <c r="H44" s="10">
        <f ca="1">IFERROR(__xludf.DUMMYFUNCTION("""COMPUTED_VALUE"""),6)</f>
        <v>6</v>
      </c>
      <c r="I44" s="25">
        <f ca="1">IFERROR(__xludf.DUMMYFUNCTION("""COMPUTED_VALUE"""),32.87)</f>
        <v>32.869999999999997</v>
      </c>
      <c r="J44" s="10">
        <f t="shared" ca="1" si="1"/>
        <v>-32.869999999999997</v>
      </c>
      <c r="K44" s="11">
        <f ca="1">DATE(2025, Cashflow!$D$2, $H44)</f>
        <v>45936</v>
      </c>
    </row>
    <row r="45" spans="1:11" ht="15.75" customHeight="1">
      <c r="A45" s="20" t="b">
        <v>1</v>
      </c>
      <c r="B45" s="10" t="s">
        <v>38</v>
      </c>
      <c r="C45" s="1">
        <v>4</v>
      </c>
      <c r="D45" s="2">
        <v>243.49</v>
      </c>
      <c r="F45" s="10" t="b">
        <f t="shared" si="0"/>
        <v>1</v>
      </c>
      <c r="G45" s="10" t="str">
        <f ca="1">IFERROR(__xludf.DUMMYFUNCTION("""COMPUTED_VALUE"""),"Gym Trainer (Brittany)")</f>
        <v>Gym Trainer (Brittany)</v>
      </c>
      <c r="H45" s="10">
        <f ca="1">IFERROR(__xludf.DUMMYFUNCTION("""COMPUTED_VALUE"""),5)</f>
        <v>5</v>
      </c>
      <c r="I45" s="25">
        <f ca="1">IFERROR(__xludf.DUMMYFUNCTION("""COMPUTED_VALUE"""),105.29)</f>
        <v>105.29</v>
      </c>
      <c r="J45" s="10">
        <f t="shared" ca="1" si="1"/>
        <v>-105.29</v>
      </c>
      <c r="K45" s="11">
        <f ca="1">DATE(2025, Cashflow!$D$2, $H45)</f>
        <v>45935</v>
      </c>
    </row>
    <row r="46" spans="1:11" ht="15.75" customHeight="1">
      <c r="A46" s="20" t="b">
        <v>0</v>
      </c>
      <c r="B46" s="10" t="s">
        <v>39</v>
      </c>
      <c r="C46" s="1">
        <v>1</v>
      </c>
      <c r="D46" s="2">
        <v>0</v>
      </c>
      <c r="F46" s="10" t="b">
        <f t="shared" si="0"/>
        <v>1</v>
      </c>
      <c r="G46" s="10" t="str">
        <f ca="1">IFERROR(__xludf.DUMMYFUNCTION("""COMPUTED_VALUE"""),"Gym Trainer (Brittany)")</f>
        <v>Gym Trainer (Brittany)</v>
      </c>
      <c r="H46" s="10">
        <f ca="1">IFERROR(__xludf.DUMMYFUNCTION("""COMPUTED_VALUE"""),19)</f>
        <v>19</v>
      </c>
      <c r="I46" s="25">
        <f ca="1">IFERROR(__xludf.DUMMYFUNCTION("""COMPUTED_VALUE"""),105.29)</f>
        <v>105.29</v>
      </c>
      <c r="J46" s="10">
        <f t="shared" ca="1" si="1"/>
        <v>-105.29</v>
      </c>
      <c r="K46" s="11">
        <f ca="1">DATE(2025, Cashflow!$D$2, $H46)</f>
        <v>45949</v>
      </c>
    </row>
    <row r="47" spans="1:11" ht="15.75" customHeight="1">
      <c r="A47" s="20" t="b">
        <v>0</v>
      </c>
      <c r="B47" s="10" t="s">
        <v>40</v>
      </c>
      <c r="C47" s="1">
        <v>23</v>
      </c>
      <c r="D47" s="2">
        <v>260.73</v>
      </c>
      <c r="F47" s="10" t="b">
        <f t="shared" si="0"/>
        <v>1</v>
      </c>
      <c r="G47" s="10" t="str">
        <f ca="1">IFERROR(__xludf.DUMMYFUNCTION("""COMPUTED_VALUE"""),"Amazon Prime")</f>
        <v>Amazon Prime</v>
      </c>
      <c r="H47" s="10">
        <f ca="1">IFERROR(__xludf.DUMMYFUNCTION("""COMPUTED_VALUE"""),14)</f>
        <v>14</v>
      </c>
      <c r="I47" s="25">
        <f ca="1">IFERROR(__xludf.DUMMYFUNCTION("""COMPUTED_VALUE"""),14.99)</f>
        <v>14.99</v>
      </c>
      <c r="J47" s="10">
        <f t="shared" ca="1" si="1"/>
        <v>-14.99</v>
      </c>
      <c r="K47" s="11">
        <f ca="1">DATE(2025, Cashflow!$D$2, $H47)</f>
        <v>45944</v>
      </c>
    </row>
    <row r="48" spans="1:11" ht="15.75" customHeight="1">
      <c r="A48" s="20" t="b">
        <v>0</v>
      </c>
      <c r="B48" s="10" t="s">
        <v>41</v>
      </c>
      <c r="C48" s="1">
        <v>18</v>
      </c>
      <c r="D48" s="2">
        <v>199.07</v>
      </c>
      <c r="F48" s="10" t="b">
        <f t="shared" si="0"/>
        <v>1</v>
      </c>
      <c r="G48" s="10" t="str">
        <f ca="1">IFERROR(__xludf.DUMMYFUNCTION("""COMPUTED_VALUE"""),"Drawboard PDF")</f>
        <v>Drawboard PDF</v>
      </c>
      <c r="H48" s="10">
        <f ca="1">IFERROR(__xludf.DUMMYFUNCTION("""COMPUTED_VALUE"""),29)</f>
        <v>29</v>
      </c>
      <c r="I48" s="25">
        <f ca="1">IFERROR(__xludf.DUMMYFUNCTION("""COMPUTED_VALUE"""),5.99)</f>
        <v>5.99</v>
      </c>
      <c r="J48" s="10">
        <f t="shared" ca="1" si="1"/>
        <v>-5.99</v>
      </c>
      <c r="K48" s="11">
        <f ca="1">DATE(2025, Cashflow!$D$2, $H48)</f>
        <v>45959</v>
      </c>
    </row>
    <row r="49" spans="1:11" ht="15.75" customHeight="1">
      <c r="A49" s="20" t="b">
        <v>0</v>
      </c>
      <c r="B49" s="10" t="s">
        <v>42</v>
      </c>
      <c r="C49" s="1">
        <v>28</v>
      </c>
      <c r="D49" s="2">
        <v>74.95</v>
      </c>
      <c r="F49" s="10" t="b">
        <f t="shared" si="0"/>
        <v>1</v>
      </c>
      <c r="G49" s="10" t="str">
        <f ca="1">IFERROR(__xludf.DUMMYFUNCTION("""COMPUTED_VALUE"""),"Mailchimp")</f>
        <v>Mailchimp</v>
      </c>
      <c r="H49" s="10">
        <f ca="1">IFERROR(__xludf.DUMMYFUNCTION("""COMPUTED_VALUE"""),25)</f>
        <v>25</v>
      </c>
      <c r="I49" s="25">
        <f ca="1">IFERROR(__xludf.DUMMYFUNCTION("""COMPUTED_VALUE"""),14.04)</f>
        <v>14.04</v>
      </c>
      <c r="J49" s="10">
        <f t="shared" ca="1" si="1"/>
        <v>-14.04</v>
      </c>
      <c r="K49" s="11">
        <f ca="1">DATE(2025, Cashflow!$D$2, $H49)</f>
        <v>45955</v>
      </c>
    </row>
    <row r="50" spans="1:11" ht="15.75" customHeight="1">
      <c r="A50" s="20" t="b">
        <v>0</v>
      </c>
      <c r="B50" s="10" t="s">
        <v>43</v>
      </c>
      <c r="C50" s="1">
        <v>16</v>
      </c>
      <c r="D50" s="2">
        <v>82.37</v>
      </c>
      <c r="F50" s="10" t="b">
        <f t="shared" si="0"/>
        <v>1</v>
      </c>
      <c r="G50" s="10" t="str">
        <f ca="1">IFERROR(__xludf.DUMMYFUNCTION("""COMPUTED_VALUE"""),"Microsoft 365")</f>
        <v>Microsoft 365</v>
      </c>
      <c r="H50" s="10">
        <f ca="1">IFERROR(__xludf.DUMMYFUNCTION("""COMPUTED_VALUE"""),17)</f>
        <v>17</v>
      </c>
      <c r="I50" s="25">
        <f ca="1">IFERROR(__xludf.DUMMYFUNCTION("""COMPUTED_VALUE"""),14.14)</f>
        <v>14.14</v>
      </c>
      <c r="J50" s="10">
        <f t="shared" ca="1" si="1"/>
        <v>-14.14</v>
      </c>
      <c r="K50" s="11">
        <f ca="1">DATE(2025, Cashflow!$D$2, $H50)</f>
        <v>45947</v>
      </c>
    </row>
    <row r="51" spans="1:11" ht="8.25" customHeight="1">
      <c r="B51" s="13"/>
      <c r="C51" s="14"/>
      <c r="D51" s="15"/>
      <c r="F51" s="10" t="b">
        <f t="shared" si="0"/>
        <v>0</v>
      </c>
      <c r="G51" s="10" t="str">
        <f ca="1">IFERROR(__xludf.DUMMYFUNCTION("""COMPUTED_VALUE"""),"Netflix")</f>
        <v>Netflix</v>
      </c>
      <c r="H51" s="10">
        <f ca="1">IFERROR(__xludf.DUMMYFUNCTION("""COMPUTED_VALUE"""),23)</f>
        <v>23</v>
      </c>
      <c r="I51" s="25">
        <f ca="1">IFERROR(__xludf.DUMMYFUNCTION("""COMPUTED_VALUE"""),19.3)</f>
        <v>19.3</v>
      </c>
      <c r="J51" s="10">
        <f t="shared" ca="1" si="1"/>
        <v>-19.3</v>
      </c>
      <c r="K51" s="11">
        <f ca="1">DATE(2025, Cashflow!$D$2, $H51)</f>
        <v>45953</v>
      </c>
    </row>
    <row r="52" spans="1:11" ht="15.75" customHeight="1">
      <c r="B52" s="105" t="s">
        <v>44</v>
      </c>
      <c r="C52" s="106"/>
      <c r="D52" s="106"/>
      <c r="F52" s="10" t="b">
        <f t="shared" si="0"/>
        <v>0</v>
      </c>
      <c r="G52" s="10" t="str">
        <f ca="1">IFERROR(__xludf.DUMMYFUNCTION("""COMPUTED_VALUE"""),"YNAB ")</f>
        <v xml:space="preserve">YNAB </v>
      </c>
      <c r="H52" s="10">
        <f ca="1">IFERROR(__xludf.DUMMYFUNCTION("""COMPUTED_VALUE"""),9)</f>
        <v>9</v>
      </c>
      <c r="I52" s="25">
        <f ca="1">IFERROR(__xludf.DUMMYFUNCTION("""COMPUTED_VALUE"""),14.99)</f>
        <v>14.99</v>
      </c>
      <c r="J52" s="10">
        <f t="shared" ca="1" si="1"/>
        <v>-14.99</v>
      </c>
      <c r="K52" s="11">
        <f ca="1">DATE(2025, Cashflow!$D$2, $H52)</f>
        <v>45939</v>
      </c>
    </row>
    <row r="53" spans="1:11" ht="15.75" customHeight="1">
      <c r="A53" s="20" t="b">
        <v>1</v>
      </c>
      <c r="B53" s="10" t="s">
        <v>45</v>
      </c>
      <c r="C53" s="1">
        <v>1</v>
      </c>
      <c r="D53" s="2">
        <v>252.58</v>
      </c>
      <c r="F53" s="10" t="b">
        <f t="shared" si="0"/>
        <v>1</v>
      </c>
      <c r="G53" s="10" t="str">
        <f ca="1">IFERROR(__xludf.DUMMYFUNCTION("""COMPUTED_VALUE"""),"OpenAI")</f>
        <v>OpenAI</v>
      </c>
      <c r="H53" s="10">
        <f ca="1">IFERROR(__xludf.DUMMYFUNCTION("""COMPUTED_VALUE"""),16)</f>
        <v>16</v>
      </c>
      <c r="I53" s="25">
        <f ca="1">IFERROR(__xludf.DUMMYFUNCTION("""COMPUTED_VALUE"""),20.2)</f>
        <v>20.2</v>
      </c>
      <c r="J53" s="10">
        <f t="shared" ca="1" si="1"/>
        <v>-20.2</v>
      </c>
      <c r="K53" s="11">
        <f ca="1">DATE(2025, Cashflow!$D$2, $H53)</f>
        <v>45946</v>
      </c>
    </row>
    <row r="54" spans="1:11" ht="15.75" customHeight="1">
      <c r="A54" s="20" t="b">
        <v>1</v>
      </c>
      <c r="B54" s="10" t="s">
        <v>45</v>
      </c>
      <c r="C54" s="1">
        <v>8</v>
      </c>
      <c r="D54" s="2">
        <v>248.95</v>
      </c>
      <c r="F54" s="10" t="b">
        <f t="shared" si="0"/>
        <v>1</v>
      </c>
      <c r="G54" s="10" t="str">
        <f ca="1">IFERROR(__xludf.DUMMYFUNCTION("""COMPUTED_VALUE"""),"SAH Stipend (1/2)")</f>
        <v>SAH Stipend (1/2)</v>
      </c>
      <c r="H54" s="10">
        <f ca="1">IFERROR(__xludf.DUMMYFUNCTION("""COMPUTED_VALUE"""),15)</f>
        <v>15</v>
      </c>
      <c r="I54" s="25">
        <f ca="1">IFERROR(__xludf.DUMMYFUNCTION("""COMPUTED_VALUE"""),250)</f>
        <v>250</v>
      </c>
      <c r="J54" s="10">
        <f t="shared" ca="1" si="1"/>
        <v>-250</v>
      </c>
      <c r="K54" s="11">
        <f ca="1">DATE(2025, Cashflow!$D$2, $H54)</f>
        <v>45945</v>
      </c>
    </row>
    <row r="55" spans="1:11" ht="15.75" customHeight="1">
      <c r="A55" s="20" t="b">
        <v>0</v>
      </c>
      <c r="B55" s="10" t="s">
        <v>45</v>
      </c>
      <c r="C55" s="1">
        <v>15</v>
      </c>
      <c r="D55" s="2">
        <v>250</v>
      </c>
      <c r="F55" s="10" t="b">
        <f t="shared" si="0"/>
        <v>1</v>
      </c>
      <c r="G55" s="10" t="str">
        <f ca="1">IFERROR(__xludf.DUMMYFUNCTION("""COMPUTED_VALUE"""),"SAH Stipend (2/2)")</f>
        <v>SAH Stipend (2/2)</v>
      </c>
      <c r="H55" s="10">
        <f ca="1">IFERROR(__xludf.DUMMYFUNCTION("""COMPUTED_VALUE"""),30)</f>
        <v>30</v>
      </c>
      <c r="I55" s="25">
        <f ca="1">IFERROR(__xludf.DUMMYFUNCTION("""COMPUTED_VALUE"""),250)</f>
        <v>250</v>
      </c>
      <c r="J55" s="10">
        <f t="shared" ca="1" si="1"/>
        <v>-250</v>
      </c>
      <c r="K55" s="11">
        <f ca="1">DATE(2025, Cashflow!$D$2, $H55)</f>
        <v>45960</v>
      </c>
    </row>
    <row r="56" spans="1:11" ht="15.75" customHeight="1">
      <c r="A56" s="20" t="b">
        <v>0</v>
      </c>
      <c r="B56" s="10" t="s">
        <v>45</v>
      </c>
      <c r="C56" s="1">
        <v>22</v>
      </c>
      <c r="D56" s="2">
        <v>250</v>
      </c>
      <c r="F56" s="10" t="b">
        <f t="shared" si="0"/>
        <v>1</v>
      </c>
      <c r="G56" s="10" t="str">
        <f ca="1">IFERROR(__xludf.DUMMYFUNCTION("""COMPUTED_VALUE"""),"Gym Membership (Nykosi)")</f>
        <v>Gym Membership (Nykosi)</v>
      </c>
      <c r="H56" s="10">
        <f ca="1">IFERROR(__xludf.DUMMYFUNCTION("""COMPUTED_VALUE"""),24)</f>
        <v>24</v>
      </c>
      <c r="I56" s="25">
        <f ca="1">IFERROR(__xludf.DUMMYFUNCTION("""COMPUTED_VALUE"""),0)</f>
        <v>0</v>
      </c>
      <c r="J56" s="10">
        <f t="shared" ca="1" si="1"/>
        <v>0</v>
      </c>
      <c r="K56" s="11">
        <f ca="1">DATE(2025, Cashflow!$D$2, $H56)</f>
        <v>45954</v>
      </c>
    </row>
    <row r="57" spans="1:11" ht="15.75" customHeight="1">
      <c r="A57" s="20" t="b">
        <v>0</v>
      </c>
      <c r="B57" s="10" t="s">
        <v>45</v>
      </c>
      <c r="C57" s="1">
        <v>29</v>
      </c>
      <c r="D57" s="2">
        <v>250</v>
      </c>
      <c r="F57" s="10" t="b">
        <f t="shared" si="0"/>
        <v>1</v>
      </c>
      <c r="G57" s="10" t="str">
        <f ca="1">IFERROR(__xludf.DUMMYFUNCTION("""COMPUTED_VALUE"""),"Gym Membership (Brittany)")</f>
        <v>Gym Membership (Brittany)</v>
      </c>
      <c r="H57" s="10">
        <f ca="1">IFERROR(__xludf.DUMMYFUNCTION("""COMPUTED_VALUE"""),6)</f>
        <v>6</v>
      </c>
      <c r="I57" s="25">
        <f ca="1">IFERROR(__xludf.DUMMYFUNCTION("""COMPUTED_VALUE"""),0)</f>
        <v>0</v>
      </c>
      <c r="J57" s="10">
        <f t="shared" ca="1" si="1"/>
        <v>0</v>
      </c>
      <c r="K57" s="11">
        <f ca="1">DATE(2025, Cashflow!$D$2, $H57)</f>
        <v>45936</v>
      </c>
    </row>
    <row r="58" spans="1:11" ht="15.75" customHeight="1">
      <c r="A58" s="20" t="b">
        <v>0</v>
      </c>
      <c r="B58" s="10" t="s">
        <v>46</v>
      </c>
      <c r="C58" s="1">
        <v>16</v>
      </c>
      <c r="D58" s="2">
        <v>30</v>
      </c>
      <c r="F58" s="10" t="b">
        <f t="shared" si="0"/>
        <v>1</v>
      </c>
      <c r="J58" s="10">
        <f t="shared" si="1"/>
        <v>0</v>
      </c>
      <c r="K58" s="11">
        <f>DATE(2025, Cashflow!$D$2, $H58)</f>
        <v>45930</v>
      </c>
    </row>
    <row r="59" spans="1:11" ht="15.75" customHeight="1">
      <c r="A59" s="20" t="b">
        <v>0</v>
      </c>
      <c r="B59" s="10" t="s">
        <v>47</v>
      </c>
      <c r="C59" s="1">
        <v>16</v>
      </c>
      <c r="D59" s="2">
        <v>50</v>
      </c>
      <c r="F59" s="10" t="b">
        <f t="shared" si="0"/>
        <v>1</v>
      </c>
      <c r="J59" s="10">
        <f t="shared" si="1"/>
        <v>0</v>
      </c>
      <c r="K59" s="11">
        <f>DATE(2025, Cashflow!$D$2, $H59)</f>
        <v>45930</v>
      </c>
    </row>
    <row r="60" spans="1:11" ht="8.25" customHeight="1">
      <c r="B60" s="13"/>
      <c r="C60" s="14"/>
      <c r="D60" s="15"/>
      <c r="F60" s="10" t="b">
        <f t="shared" si="0"/>
        <v>0</v>
      </c>
      <c r="J60" s="10">
        <f t="shared" si="1"/>
        <v>0</v>
      </c>
      <c r="K60" s="11">
        <f>DATE(2025, Cashflow!$D$2, $H60)</f>
        <v>45930</v>
      </c>
    </row>
    <row r="61" spans="1:11" ht="15.75" customHeight="1">
      <c r="B61" s="105" t="s">
        <v>48</v>
      </c>
      <c r="C61" s="106"/>
      <c r="D61" s="106"/>
      <c r="F61" s="10" t="b">
        <f t="shared" si="0"/>
        <v>0</v>
      </c>
      <c r="J61" s="10">
        <f t="shared" si="1"/>
        <v>0</v>
      </c>
      <c r="K61" s="11">
        <f>DATE(2025, Cashflow!$D$2, $H61)</f>
        <v>45930</v>
      </c>
    </row>
    <row r="62" spans="1:11" ht="15.75" customHeight="1">
      <c r="A62" s="20" t="b">
        <v>0</v>
      </c>
      <c r="B62" s="10" t="s">
        <v>49</v>
      </c>
      <c r="C62" s="1">
        <v>24</v>
      </c>
      <c r="D62" s="2">
        <v>22.23</v>
      </c>
      <c r="F62" s="10" t="b">
        <f t="shared" si="0"/>
        <v>1</v>
      </c>
      <c r="J62" s="10">
        <f t="shared" si="1"/>
        <v>0</v>
      </c>
      <c r="K62" s="11">
        <f>DATE(2025, Cashflow!$D$2, $H62)</f>
        <v>45930</v>
      </c>
    </row>
    <row r="63" spans="1:11" ht="15.75" customHeight="1">
      <c r="A63" s="20" t="b">
        <v>1</v>
      </c>
      <c r="B63" s="10" t="s">
        <v>50</v>
      </c>
      <c r="C63" s="1">
        <v>6</v>
      </c>
      <c r="D63" s="2">
        <v>32.869999999999997</v>
      </c>
      <c r="F63" s="10" t="b">
        <f t="shared" si="0"/>
        <v>1</v>
      </c>
      <c r="J63" s="10">
        <f t="shared" si="1"/>
        <v>0</v>
      </c>
      <c r="K63" s="11">
        <f>DATE(2025, Cashflow!$D$2, $H63)</f>
        <v>45930</v>
      </c>
    </row>
    <row r="64" spans="1:11" ht="15.75" customHeight="1">
      <c r="A64" s="20" t="b">
        <v>1</v>
      </c>
      <c r="B64" s="10" t="s">
        <v>51</v>
      </c>
      <c r="C64" s="1">
        <v>5</v>
      </c>
      <c r="D64" s="2">
        <v>105.29</v>
      </c>
      <c r="F64" s="10" t="b">
        <f t="shared" si="0"/>
        <v>1</v>
      </c>
      <c r="J64" s="10">
        <f t="shared" si="1"/>
        <v>0</v>
      </c>
      <c r="K64" s="11">
        <f>DATE(2025, Cashflow!$D$2, $H64)</f>
        <v>45930</v>
      </c>
    </row>
    <row r="65" spans="1:26" ht="15.75" customHeight="1">
      <c r="A65" s="20" t="b">
        <v>0</v>
      </c>
      <c r="B65" s="10" t="s">
        <v>51</v>
      </c>
      <c r="C65" s="1">
        <v>19</v>
      </c>
      <c r="D65" s="2">
        <v>105.29</v>
      </c>
      <c r="F65" s="10" t="b">
        <f t="shared" si="0"/>
        <v>1</v>
      </c>
      <c r="J65" s="10">
        <f t="shared" si="1"/>
        <v>0</v>
      </c>
      <c r="K65" s="11">
        <f>DATE(2025, Cashflow!$D$2, $H65)</f>
        <v>45930</v>
      </c>
    </row>
    <row r="66" spans="1:26" ht="15.75" customHeight="1">
      <c r="A66" s="20" t="b">
        <v>0</v>
      </c>
      <c r="B66" s="10" t="s">
        <v>53</v>
      </c>
      <c r="C66" s="1">
        <v>14</v>
      </c>
      <c r="D66" s="2">
        <v>14.99</v>
      </c>
      <c r="F66" s="10" t="b">
        <f t="shared" si="0"/>
        <v>1</v>
      </c>
      <c r="J66" s="10">
        <f t="shared" si="1"/>
        <v>0</v>
      </c>
      <c r="K66" s="11">
        <f>DATE(2025, Cashflow!$D$2, $H66)</f>
        <v>45930</v>
      </c>
    </row>
    <row r="67" spans="1:26" ht="15.75" customHeight="1">
      <c r="A67" s="20" t="b">
        <v>0</v>
      </c>
      <c r="B67" s="10" t="s">
        <v>54</v>
      </c>
      <c r="C67" s="1">
        <v>29</v>
      </c>
      <c r="D67" s="2">
        <v>5.99</v>
      </c>
      <c r="F67" s="10" t="b">
        <f t="shared" si="0"/>
        <v>1</v>
      </c>
      <c r="J67" s="10">
        <f t="shared" si="1"/>
        <v>0</v>
      </c>
      <c r="K67" s="11">
        <f>DATE(2025, Cashflow!$D$2, $H67)</f>
        <v>45930</v>
      </c>
    </row>
    <row r="68" spans="1:26" ht="15.75" customHeight="1">
      <c r="A68" s="20" t="b">
        <v>0</v>
      </c>
      <c r="B68" s="10" t="s">
        <v>55</v>
      </c>
      <c r="C68" s="1">
        <v>25</v>
      </c>
      <c r="D68" s="2">
        <v>14.04</v>
      </c>
      <c r="F68" s="10" t="b">
        <f t="shared" si="0"/>
        <v>1</v>
      </c>
      <c r="J68" s="10">
        <f t="shared" si="1"/>
        <v>0</v>
      </c>
      <c r="K68" s="11">
        <f>DATE(2025, Cashflow!$D$2, $H68)</f>
        <v>45930</v>
      </c>
    </row>
    <row r="69" spans="1:26" ht="15.75" customHeight="1">
      <c r="A69" s="20" t="b">
        <v>0</v>
      </c>
      <c r="B69" s="10" t="s">
        <v>56</v>
      </c>
      <c r="C69" s="1">
        <v>17</v>
      </c>
      <c r="D69" s="2">
        <v>14.14</v>
      </c>
      <c r="F69" s="10" t="b">
        <f t="shared" si="0"/>
        <v>1</v>
      </c>
      <c r="J69" s="10">
        <f t="shared" si="1"/>
        <v>0</v>
      </c>
      <c r="K69" s="11">
        <f>DATE(2025, Cashflow!$D$2, $H69)</f>
        <v>45930</v>
      </c>
    </row>
    <row r="70" spans="1:26" ht="15.75" customHeight="1">
      <c r="A70" s="20" t="b">
        <v>0</v>
      </c>
      <c r="B70" s="10" t="s">
        <v>57</v>
      </c>
      <c r="C70" s="1">
        <v>23</v>
      </c>
      <c r="D70" s="2">
        <v>19.3</v>
      </c>
      <c r="F70" s="10" t="b">
        <f t="shared" si="0"/>
        <v>1</v>
      </c>
      <c r="J70" s="10">
        <f t="shared" si="1"/>
        <v>0</v>
      </c>
      <c r="K70" s="11">
        <f>DATE(2025, Cashflow!$D$2, $H70)</f>
        <v>45930</v>
      </c>
    </row>
    <row r="71" spans="1:26" ht="15.75" customHeight="1">
      <c r="A71" s="20" t="b">
        <v>0</v>
      </c>
      <c r="B71" s="10" t="s">
        <v>58</v>
      </c>
      <c r="C71" s="1">
        <v>9</v>
      </c>
      <c r="D71" s="2">
        <v>14.99</v>
      </c>
      <c r="F71" s="10" t="b">
        <f t="shared" si="0"/>
        <v>1</v>
      </c>
      <c r="J71" s="10">
        <f t="shared" si="1"/>
        <v>0</v>
      </c>
      <c r="K71" s="11">
        <f>DATE(2025, Cashflow!$D$2, $H71)</f>
        <v>45930</v>
      </c>
    </row>
    <row r="72" spans="1:26" ht="15.75" customHeight="1">
      <c r="A72" s="20" t="b">
        <v>0</v>
      </c>
      <c r="B72" s="10" t="s">
        <v>59</v>
      </c>
      <c r="C72" s="1">
        <v>16</v>
      </c>
      <c r="D72" s="2">
        <v>20.2</v>
      </c>
      <c r="F72" s="10" t="b">
        <f t="shared" si="0"/>
        <v>1</v>
      </c>
      <c r="J72" s="10">
        <f t="shared" si="1"/>
        <v>0</v>
      </c>
      <c r="K72" s="11">
        <f>DATE(2025, Cashflow!$D$2, $H72)</f>
        <v>45930</v>
      </c>
    </row>
    <row r="73" spans="1:26" ht="15.75" customHeight="1">
      <c r="A73" s="20" t="b">
        <v>0</v>
      </c>
      <c r="B73" s="10" t="s">
        <v>60</v>
      </c>
      <c r="C73" s="1">
        <v>15</v>
      </c>
      <c r="D73" s="2">
        <v>250</v>
      </c>
      <c r="F73" s="10" t="b">
        <f t="shared" si="0"/>
        <v>1</v>
      </c>
      <c r="J73" s="10">
        <f t="shared" si="1"/>
        <v>0</v>
      </c>
      <c r="K73" s="11">
        <f>DATE(2025, Cashflow!$D$2, $H73)</f>
        <v>45930</v>
      </c>
    </row>
    <row r="74" spans="1:26" ht="15.75" customHeight="1">
      <c r="A74" s="20" t="b">
        <v>0</v>
      </c>
      <c r="B74" s="10" t="s">
        <v>61</v>
      </c>
      <c r="C74" s="1">
        <v>30</v>
      </c>
      <c r="D74" s="2">
        <v>250</v>
      </c>
      <c r="F74" s="10" t="b">
        <f t="shared" si="0"/>
        <v>1</v>
      </c>
      <c r="J74" s="10">
        <f t="shared" si="1"/>
        <v>0</v>
      </c>
      <c r="K74" s="11">
        <f>DATE(2025, Cashflow!$D$2, $H74)</f>
        <v>45930</v>
      </c>
    </row>
    <row r="75" spans="1:26" ht="8.25" customHeight="1">
      <c r="B75" s="13"/>
      <c r="C75" s="14"/>
      <c r="D75" s="15"/>
      <c r="F75" s="10" t="b">
        <f t="shared" si="0"/>
        <v>0</v>
      </c>
      <c r="J75" s="10">
        <f t="shared" si="1"/>
        <v>0</v>
      </c>
      <c r="K75" s="11">
        <f>DATE(2025, Cashflow!$D$2, $H75)</f>
        <v>45930</v>
      </c>
    </row>
    <row r="76" spans="1:26" ht="15.75" customHeight="1">
      <c r="B76" s="105" t="s">
        <v>62</v>
      </c>
      <c r="C76" s="106"/>
      <c r="D76" s="106"/>
      <c r="F76" s="10" t="b">
        <f t="shared" si="0"/>
        <v>0</v>
      </c>
      <c r="J76" s="10">
        <f t="shared" si="1"/>
        <v>0</v>
      </c>
      <c r="K76" s="11">
        <f>DATE(2025, Cashflow!$D$2, $H76)</f>
        <v>45930</v>
      </c>
    </row>
    <row r="77" spans="1:26" ht="15.75" customHeight="1">
      <c r="A77" s="20" t="b">
        <v>0</v>
      </c>
      <c r="B77" s="10" t="s">
        <v>49</v>
      </c>
      <c r="C77" s="1">
        <v>24</v>
      </c>
      <c r="D77" s="2">
        <v>0</v>
      </c>
      <c r="F77" s="10" t="b">
        <f t="shared" si="0"/>
        <v>1</v>
      </c>
      <c r="J77" s="10">
        <f t="shared" si="1"/>
        <v>0</v>
      </c>
      <c r="K77" s="11">
        <f>DATE(2025, Cashflow!$D$2, $H77)</f>
        <v>45930</v>
      </c>
    </row>
    <row r="78" spans="1:26" ht="15.75" customHeight="1">
      <c r="A78" s="20" t="b">
        <v>0</v>
      </c>
      <c r="B78" s="10" t="s">
        <v>50</v>
      </c>
      <c r="C78" s="1">
        <v>6</v>
      </c>
      <c r="D78" s="2">
        <v>0</v>
      </c>
      <c r="F78" s="10" t="b">
        <f t="shared" si="0"/>
        <v>1</v>
      </c>
      <c r="J78" s="10">
        <f t="shared" si="1"/>
        <v>0</v>
      </c>
      <c r="K78" s="11">
        <f>DATE(2025, Cashflow!$D$2, $H78)</f>
        <v>45930</v>
      </c>
    </row>
    <row r="79" spans="1:26" ht="8.25" customHeight="1">
      <c r="B79" s="13"/>
      <c r="C79" s="14"/>
      <c r="D79" s="15"/>
      <c r="F79" s="10" t="b">
        <f t="shared" si="0"/>
        <v>0</v>
      </c>
      <c r="J79" s="10">
        <f t="shared" si="1"/>
        <v>0</v>
      </c>
      <c r="K79" s="11">
        <f>DATE(2025, Cashflow!$D$2, $H79)</f>
        <v>45930</v>
      </c>
    </row>
    <row r="80" spans="1:26" ht="15.75" customHeight="1">
      <c r="A80" s="16"/>
      <c r="B80" s="21" t="s">
        <v>63</v>
      </c>
      <c r="C80" s="22"/>
      <c r="D80" s="23">
        <f>$D$14-SUM($D$17:$D$79)</f>
        <v>428.2400000000016</v>
      </c>
      <c r="E80" s="16"/>
      <c r="F80" s="10" t="b">
        <f t="shared" si="0"/>
        <v>0</v>
      </c>
      <c r="G80" s="16"/>
      <c r="H80" s="16"/>
      <c r="I80" s="16"/>
      <c r="J80" s="10">
        <f t="shared" si="1"/>
        <v>0</v>
      </c>
      <c r="K80" s="11">
        <f>DATE(2025, Cashflow!$D$2, $H80)</f>
        <v>45930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2:11" ht="8.25" customHeight="1">
      <c r="C81" s="1"/>
      <c r="D81" s="2"/>
      <c r="F81" s="10" t="b">
        <f t="shared" si="0"/>
        <v>0</v>
      </c>
      <c r="J81" s="10">
        <f t="shared" si="1"/>
        <v>0</v>
      </c>
      <c r="K81" s="11">
        <f>DATE(2025, Cashflow!$D$2, $H81)</f>
        <v>45930</v>
      </c>
    </row>
    <row r="82" spans="2:11" ht="15.75" customHeight="1">
      <c r="C82" s="1"/>
      <c r="D82" s="2"/>
      <c r="F82" s="10" t="b">
        <f t="shared" si="0"/>
        <v>0</v>
      </c>
      <c r="J82" s="10">
        <f t="shared" si="1"/>
        <v>0</v>
      </c>
      <c r="K82" s="11">
        <f>DATE(2025, Cashflow!$D$2, $H82)</f>
        <v>45930</v>
      </c>
    </row>
    <row r="83" spans="2:11" ht="15.75" customHeight="1">
      <c r="B83" s="105" t="s">
        <v>64</v>
      </c>
      <c r="C83" s="106"/>
      <c r="D83" s="106"/>
      <c r="F83" s="10" t="b">
        <f t="shared" si="0"/>
        <v>0</v>
      </c>
      <c r="J83" s="10">
        <f t="shared" si="1"/>
        <v>0</v>
      </c>
      <c r="K83" s="11">
        <f>DATE(2025, Cashflow!$D$2, $H83)</f>
        <v>45930</v>
      </c>
    </row>
    <row r="84" spans="2:11" ht="15.75" customHeight="1">
      <c r="B84" s="10" t="s">
        <v>65</v>
      </c>
      <c r="C84" s="1"/>
      <c r="D84" s="2"/>
      <c r="F84" s="10" t="b">
        <f t="shared" si="0"/>
        <v>0</v>
      </c>
      <c r="J84" s="10">
        <f t="shared" si="1"/>
        <v>0</v>
      </c>
      <c r="K84" s="11">
        <f>DATE(2025, Cashflow!$D$2, $H84)</f>
        <v>45930</v>
      </c>
    </row>
    <row r="85" spans="2:11" ht="15.75" customHeight="1">
      <c r="B85" s="10" t="s">
        <v>66</v>
      </c>
      <c r="C85" s="1"/>
      <c r="D85" s="2"/>
      <c r="F85" s="10" t="b">
        <f t="shared" si="0"/>
        <v>0</v>
      </c>
      <c r="J85" s="10">
        <f t="shared" si="1"/>
        <v>0</v>
      </c>
      <c r="K85" s="11">
        <f>DATE(2025, Cashflow!$D$2, $H85)</f>
        <v>45930</v>
      </c>
    </row>
    <row r="86" spans="2:11" ht="15.75" customHeight="1">
      <c r="C86" s="1"/>
      <c r="D86" s="2"/>
      <c r="F86" s="10" t="b">
        <f t="shared" si="0"/>
        <v>0</v>
      </c>
      <c r="J86" s="10">
        <f t="shared" si="1"/>
        <v>0</v>
      </c>
      <c r="K86" s="11">
        <f>DATE(2025, Cashflow!$D$2, $H86)</f>
        <v>45930</v>
      </c>
    </row>
    <row r="87" spans="2:11" ht="15.75" customHeight="1">
      <c r="C87" s="1"/>
      <c r="D87" s="2"/>
      <c r="F87" s="10" t="b">
        <f t="shared" si="0"/>
        <v>0</v>
      </c>
      <c r="J87" s="10">
        <f t="shared" si="1"/>
        <v>0</v>
      </c>
      <c r="K87" s="11">
        <f>DATE(2025, Cashflow!$D$2, $H87)</f>
        <v>45930</v>
      </c>
    </row>
    <row r="88" spans="2:11" ht="15.75" customHeight="1">
      <c r="C88" s="1"/>
      <c r="D88" s="2"/>
      <c r="F88" s="10" t="b">
        <f t="shared" si="0"/>
        <v>0</v>
      </c>
      <c r="J88" s="10">
        <f t="shared" si="1"/>
        <v>0</v>
      </c>
      <c r="K88" s="11">
        <f>DATE(2025, Cashflow!$D$2, $H88)</f>
        <v>45930</v>
      </c>
    </row>
    <row r="89" spans="2:11" ht="15.75" customHeight="1">
      <c r="C89" s="1"/>
      <c r="D89" s="2"/>
      <c r="F89" s="10" t="b">
        <f t="shared" si="0"/>
        <v>0</v>
      </c>
      <c r="J89" s="10">
        <f t="shared" si="1"/>
        <v>0</v>
      </c>
      <c r="K89" s="11">
        <f>DATE(2025, Cashflow!$D$2, $H89)</f>
        <v>45930</v>
      </c>
    </row>
    <row r="90" spans="2:11" ht="15.75" customHeight="1">
      <c r="C90" s="1"/>
      <c r="D90" s="2"/>
      <c r="F90" s="10" t="b">
        <f t="shared" si="0"/>
        <v>0</v>
      </c>
      <c r="J90" s="10">
        <f t="shared" si="1"/>
        <v>0</v>
      </c>
      <c r="K90" s="11">
        <f>DATE(2025, Cashflow!$D$2, $H90)</f>
        <v>45930</v>
      </c>
    </row>
    <row r="91" spans="2:11" ht="15.75" customHeight="1">
      <c r="C91" s="1"/>
      <c r="D91" s="2"/>
      <c r="F91" s="10" t="b">
        <f t="shared" si="0"/>
        <v>0</v>
      </c>
      <c r="J91" s="10">
        <f t="shared" si="1"/>
        <v>0</v>
      </c>
      <c r="K91" s="11">
        <f>DATE(2025, Cashflow!$D$2, $H91)</f>
        <v>45930</v>
      </c>
    </row>
    <row r="92" spans="2:11" ht="15.75" customHeight="1">
      <c r="C92" s="1"/>
      <c r="D92" s="2"/>
      <c r="F92" s="10" t="b">
        <f t="shared" si="0"/>
        <v>0</v>
      </c>
      <c r="J92" s="10">
        <f t="shared" si="1"/>
        <v>0</v>
      </c>
      <c r="K92" s="11">
        <f>DATE(2025, Cashflow!$D$2, $H92)</f>
        <v>45930</v>
      </c>
    </row>
    <row r="93" spans="2:11" ht="15.75" customHeight="1">
      <c r="C93" s="1"/>
      <c r="D93" s="2"/>
      <c r="F93" s="10" t="b">
        <f t="shared" si="0"/>
        <v>0</v>
      </c>
      <c r="J93" s="10">
        <f t="shared" si="1"/>
        <v>0</v>
      </c>
      <c r="K93" s="11">
        <f>DATE(2025, Cashflow!$D$2, $H93)</f>
        <v>45930</v>
      </c>
    </row>
    <row r="94" spans="2:11" ht="15.75" customHeight="1">
      <c r="C94" s="1"/>
      <c r="D94" s="2"/>
      <c r="F94" s="10" t="b">
        <f t="shared" si="0"/>
        <v>0</v>
      </c>
      <c r="J94" s="10">
        <f t="shared" si="1"/>
        <v>0</v>
      </c>
      <c r="K94" s="11">
        <f>DATE(2025, Cashflow!$D$2, $H94)</f>
        <v>45930</v>
      </c>
    </row>
    <row r="95" spans="2:11" ht="15.75" customHeight="1">
      <c r="C95" s="1"/>
      <c r="D95" s="2"/>
    </row>
    <row r="96" spans="2:11" ht="15.75" customHeight="1">
      <c r="C96" s="1"/>
      <c r="D96" s="2"/>
    </row>
    <row r="97" spans="3:4" ht="15.75" customHeight="1">
      <c r="C97" s="1"/>
      <c r="D97" s="2"/>
    </row>
    <row r="98" spans="3:4" ht="15.75" customHeight="1">
      <c r="C98" s="1"/>
      <c r="D98" s="2"/>
    </row>
    <row r="99" spans="3:4" ht="15.75" customHeight="1">
      <c r="C99" s="1"/>
      <c r="D99" s="2"/>
    </row>
    <row r="100" spans="3:4" ht="15.75" customHeight="1">
      <c r="C100" s="1"/>
      <c r="D100" s="2"/>
    </row>
    <row r="101" spans="3:4" ht="15.75" customHeight="1">
      <c r="C101" s="1"/>
      <c r="D101" s="2"/>
    </row>
    <row r="102" spans="3:4" ht="15.75" customHeight="1">
      <c r="C102" s="1"/>
      <c r="D102" s="2"/>
    </row>
    <row r="103" spans="3:4" ht="15.75" customHeight="1">
      <c r="C103" s="1"/>
      <c r="D103" s="2"/>
    </row>
    <row r="104" spans="3:4" ht="15.75" customHeight="1">
      <c r="C104" s="1"/>
      <c r="D104" s="2"/>
    </row>
    <row r="105" spans="3:4" ht="15.75" customHeight="1">
      <c r="C105" s="1"/>
      <c r="D105" s="2"/>
    </row>
    <row r="106" spans="3:4" ht="15.75" customHeight="1">
      <c r="C106" s="1"/>
      <c r="D106" s="2"/>
    </row>
    <row r="107" spans="3:4" ht="15.75" customHeight="1">
      <c r="C107" s="1"/>
      <c r="D107" s="2"/>
    </row>
    <row r="108" spans="3:4" ht="15.75" customHeight="1">
      <c r="C108" s="1"/>
      <c r="D108" s="2"/>
    </row>
    <row r="109" spans="3:4" ht="15.75" customHeight="1">
      <c r="C109" s="1"/>
      <c r="D109" s="2"/>
    </row>
    <row r="110" spans="3:4" ht="15.75" customHeight="1">
      <c r="C110" s="1"/>
      <c r="D110" s="2"/>
    </row>
    <row r="111" spans="3:4" ht="15.75" customHeight="1">
      <c r="C111" s="1"/>
      <c r="D111" s="2"/>
    </row>
    <row r="112" spans="3:4" ht="15.75" customHeight="1">
      <c r="C112" s="1"/>
      <c r="D112" s="2"/>
    </row>
    <row r="113" spans="3:4" ht="15.75" customHeight="1">
      <c r="C113" s="1"/>
      <c r="D113" s="2"/>
    </row>
    <row r="114" spans="3:4" ht="15.75" customHeight="1">
      <c r="C114" s="1"/>
      <c r="D114" s="2"/>
    </row>
    <row r="115" spans="3:4" ht="15.75" customHeight="1">
      <c r="C115" s="1"/>
      <c r="D115" s="2"/>
    </row>
    <row r="116" spans="3:4" ht="15.75" customHeight="1">
      <c r="C116" s="1"/>
      <c r="D116" s="2"/>
    </row>
    <row r="117" spans="3:4" ht="15.75" customHeight="1">
      <c r="C117" s="1"/>
      <c r="D117" s="2"/>
    </row>
    <row r="118" spans="3:4" ht="15.75" customHeight="1">
      <c r="C118" s="1"/>
      <c r="D118" s="2"/>
    </row>
    <row r="119" spans="3:4" ht="15.75" customHeight="1">
      <c r="C119" s="1"/>
      <c r="D119" s="2"/>
    </row>
    <row r="120" spans="3:4" ht="15.75" customHeight="1">
      <c r="C120" s="1"/>
      <c r="D120" s="2"/>
    </row>
    <row r="121" spans="3:4" ht="15.75" customHeight="1">
      <c r="C121" s="1"/>
      <c r="D121" s="2"/>
    </row>
    <row r="122" spans="3:4" ht="15.75" customHeight="1">
      <c r="C122" s="1"/>
      <c r="D122" s="2"/>
    </row>
    <row r="123" spans="3:4" ht="15.75" customHeight="1">
      <c r="C123" s="1"/>
      <c r="D123" s="2"/>
    </row>
    <row r="124" spans="3:4" ht="15.75" customHeight="1">
      <c r="C124" s="1"/>
      <c r="D124" s="2"/>
    </row>
    <row r="125" spans="3:4" ht="15.75" customHeight="1">
      <c r="C125" s="1"/>
      <c r="D125" s="2"/>
    </row>
    <row r="126" spans="3:4" ht="15.75" customHeight="1">
      <c r="C126" s="1"/>
      <c r="D126" s="2"/>
    </row>
    <row r="127" spans="3:4" ht="15.75" customHeight="1">
      <c r="C127" s="1"/>
      <c r="D127" s="2"/>
    </row>
    <row r="128" spans="3:4" ht="15.75" customHeight="1">
      <c r="C128" s="1"/>
      <c r="D128" s="2"/>
    </row>
    <row r="129" spans="3:4" ht="15.75" customHeight="1">
      <c r="C129" s="1"/>
      <c r="D129" s="2"/>
    </row>
    <row r="130" spans="3:4" ht="15.75" customHeight="1">
      <c r="C130" s="1"/>
      <c r="D130" s="2"/>
    </row>
    <row r="131" spans="3:4" ht="15.75" customHeight="1">
      <c r="C131" s="1"/>
      <c r="D131" s="2"/>
    </row>
    <row r="132" spans="3:4" ht="15.75" customHeight="1">
      <c r="C132" s="1"/>
      <c r="D132" s="2"/>
    </row>
    <row r="133" spans="3:4" ht="15.75" customHeight="1">
      <c r="C133" s="1"/>
      <c r="D133" s="2"/>
    </row>
    <row r="134" spans="3:4" ht="15.75" customHeight="1">
      <c r="C134" s="1"/>
      <c r="D134" s="2"/>
    </row>
    <row r="135" spans="3:4" ht="15.75" customHeight="1">
      <c r="C135" s="1"/>
      <c r="D135" s="2"/>
    </row>
    <row r="136" spans="3:4" ht="15.75" customHeight="1">
      <c r="C136" s="1"/>
      <c r="D136" s="2"/>
    </row>
    <row r="137" spans="3:4" ht="15.75" customHeight="1">
      <c r="C137" s="1"/>
      <c r="D137" s="2"/>
    </row>
    <row r="138" spans="3:4" ht="15.75" customHeight="1">
      <c r="C138" s="1"/>
      <c r="D138" s="2"/>
    </row>
    <row r="139" spans="3:4" ht="15.75" customHeight="1">
      <c r="C139" s="1"/>
      <c r="D139" s="2"/>
    </row>
    <row r="140" spans="3:4" ht="15.75" customHeight="1">
      <c r="C140" s="1"/>
      <c r="D140" s="2"/>
    </row>
    <row r="141" spans="3:4" ht="15.75" customHeight="1">
      <c r="C141" s="1"/>
      <c r="D141" s="2"/>
    </row>
    <row r="142" spans="3:4" ht="15.75" customHeight="1">
      <c r="C142" s="1"/>
      <c r="D142" s="2"/>
    </row>
    <row r="143" spans="3:4" ht="15.75" customHeight="1">
      <c r="C143" s="1"/>
      <c r="D143" s="2"/>
    </row>
    <row r="144" spans="3:4" ht="15.75" customHeight="1">
      <c r="C144" s="1"/>
      <c r="D144" s="2"/>
    </row>
    <row r="145" spans="3:4" ht="15.75" customHeight="1">
      <c r="C145" s="1"/>
      <c r="D145" s="2"/>
    </row>
    <row r="146" spans="3:4" ht="15.75" customHeight="1">
      <c r="C146" s="1"/>
      <c r="D146" s="2"/>
    </row>
    <row r="147" spans="3:4" ht="15.75" customHeight="1">
      <c r="C147" s="1"/>
      <c r="D147" s="2"/>
    </row>
    <row r="148" spans="3:4" ht="15.75" customHeight="1">
      <c r="C148" s="1"/>
      <c r="D148" s="2"/>
    </row>
    <row r="149" spans="3:4" ht="15.75" customHeight="1">
      <c r="C149" s="1"/>
      <c r="D149" s="2"/>
    </row>
    <row r="150" spans="3:4" ht="15.75" customHeight="1">
      <c r="C150" s="1"/>
      <c r="D150" s="2"/>
    </row>
    <row r="151" spans="3:4" ht="15.75" customHeight="1">
      <c r="C151" s="1"/>
      <c r="D151" s="2"/>
    </row>
    <row r="152" spans="3:4" ht="15.75" customHeight="1">
      <c r="C152" s="1"/>
      <c r="D152" s="2"/>
    </row>
    <row r="153" spans="3:4" ht="15.75" customHeight="1">
      <c r="C153" s="1"/>
      <c r="D153" s="2"/>
    </row>
    <row r="154" spans="3:4" ht="15.75" customHeight="1">
      <c r="C154" s="1"/>
      <c r="D154" s="2"/>
    </row>
    <row r="155" spans="3:4" ht="15.75" customHeight="1">
      <c r="C155" s="1"/>
      <c r="D155" s="2"/>
    </row>
    <row r="156" spans="3:4" ht="15.75" customHeight="1">
      <c r="C156" s="1"/>
      <c r="D156" s="2"/>
    </row>
    <row r="157" spans="3:4" ht="15.75" customHeight="1">
      <c r="C157" s="1"/>
      <c r="D157" s="2"/>
    </row>
    <row r="158" spans="3:4" ht="15.75" customHeight="1">
      <c r="C158" s="1"/>
      <c r="D158" s="2"/>
    </row>
    <row r="159" spans="3:4" ht="15.75" customHeight="1">
      <c r="C159" s="1"/>
      <c r="D159" s="2"/>
    </row>
    <row r="160" spans="3:4" ht="15.75" customHeight="1">
      <c r="C160" s="1"/>
      <c r="D160" s="2"/>
    </row>
    <row r="161" spans="3:4" ht="15.75" customHeight="1">
      <c r="C161" s="1"/>
      <c r="D161" s="2"/>
    </row>
    <row r="162" spans="3:4" ht="15.75" customHeight="1">
      <c r="C162" s="1"/>
      <c r="D162" s="2"/>
    </row>
    <row r="163" spans="3:4" ht="15.75" customHeight="1">
      <c r="C163" s="1"/>
      <c r="D163" s="2"/>
    </row>
    <row r="164" spans="3:4" ht="15.75" customHeight="1">
      <c r="C164" s="1"/>
      <c r="D164" s="2"/>
    </row>
    <row r="165" spans="3:4" ht="15.75" customHeight="1">
      <c r="C165" s="1"/>
      <c r="D165" s="2"/>
    </row>
    <row r="166" spans="3:4" ht="15.75" customHeight="1">
      <c r="C166" s="1"/>
      <c r="D166" s="2"/>
    </row>
    <row r="167" spans="3:4" ht="15.75" customHeight="1">
      <c r="C167" s="1"/>
      <c r="D167" s="2"/>
    </row>
    <row r="168" spans="3:4" ht="15.75" customHeight="1">
      <c r="C168" s="1"/>
      <c r="D168" s="2"/>
    </row>
    <row r="169" spans="3:4" ht="15.75" customHeight="1">
      <c r="C169" s="1"/>
      <c r="D169" s="2"/>
    </row>
    <row r="170" spans="3:4" ht="15.75" customHeight="1">
      <c r="C170" s="1"/>
      <c r="D170" s="2"/>
    </row>
    <row r="171" spans="3:4" ht="15.75" customHeight="1">
      <c r="C171" s="1"/>
      <c r="D171" s="2"/>
    </row>
    <row r="172" spans="3:4" ht="15.75" customHeight="1">
      <c r="C172" s="1"/>
      <c r="D172" s="2"/>
    </row>
    <row r="173" spans="3:4" ht="15.75" customHeight="1">
      <c r="C173" s="1"/>
      <c r="D173" s="2"/>
    </row>
    <row r="174" spans="3:4" ht="15.75" customHeight="1">
      <c r="C174" s="1"/>
      <c r="D174" s="2"/>
    </row>
    <row r="175" spans="3:4" ht="15.75" customHeight="1">
      <c r="C175" s="1"/>
      <c r="D175" s="2"/>
    </row>
    <row r="176" spans="3:4" ht="15.75" customHeight="1">
      <c r="C176" s="1"/>
      <c r="D176" s="2"/>
    </row>
    <row r="177" spans="3:4" ht="15.75" customHeight="1">
      <c r="C177" s="1"/>
      <c r="D177" s="2"/>
    </row>
    <row r="178" spans="3:4" ht="15.75" customHeight="1">
      <c r="C178" s="1"/>
      <c r="D178" s="2"/>
    </row>
    <row r="179" spans="3:4" ht="15.75" customHeight="1">
      <c r="C179" s="1"/>
      <c r="D179" s="2"/>
    </row>
    <row r="180" spans="3:4" ht="15.75" customHeight="1">
      <c r="C180" s="1"/>
      <c r="D180" s="2"/>
    </row>
    <row r="181" spans="3:4" ht="15.75" customHeight="1">
      <c r="C181" s="1"/>
      <c r="D181" s="2"/>
    </row>
    <row r="182" spans="3:4" ht="15.75" customHeight="1">
      <c r="C182" s="1"/>
      <c r="D182" s="2"/>
    </row>
    <row r="183" spans="3:4" ht="15.75" customHeight="1">
      <c r="C183" s="1"/>
      <c r="D183" s="2"/>
    </row>
    <row r="184" spans="3:4" ht="15.75" customHeight="1">
      <c r="C184" s="1"/>
      <c r="D184" s="2"/>
    </row>
    <row r="185" spans="3:4" ht="15.75" customHeight="1">
      <c r="C185" s="1"/>
      <c r="D185" s="2"/>
    </row>
    <row r="186" spans="3:4" ht="15.75" customHeight="1">
      <c r="C186" s="1"/>
      <c r="D186" s="2"/>
    </row>
    <row r="187" spans="3:4" ht="15.75" customHeight="1">
      <c r="C187" s="1"/>
      <c r="D187" s="2"/>
    </row>
    <row r="188" spans="3:4" ht="15.75" customHeight="1">
      <c r="C188" s="1"/>
      <c r="D188" s="2"/>
    </row>
    <row r="189" spans="3:4" ht="15.75" customHeight="1">
      <c r="C189" s="1"/>
      <c r="D189" s="2"/>
    </row>
    <row r="190" spans="3:4" ht="15.75" customHeight="1">
      <c r="C190" s="1"/>
      <c r="D190" s="2"/>
    </row>
    <row r="191" spans="3:4" ht="15.75" customHeight="1">
      <c r="C191" s="1"/>
      <c r="D191" s="2"/>
    </row>
    <row r="192" spans="3:4" ht="15.75" customHeight="1">
      <c r="C192" s="1"/>
      <c r="D192" s="2"/>
    </row>
    <row r="193" spans="3:4" ht="15.75" customHeight="1">
      <c r="C193" s="1"/>
      <c r="D193" s="2"/>
    </row>
    <row r="194" spans="3:4" ht="15.75" customHeight="1">
      <c r="C194" s="1"/>
      <c r="D194" s="2"/>
    </row>
    <row r="195" spans="3:4" ht="15.75" customHeight="1">
      <c r="C195" s="1"/>
      <c r="D195" s="2"/>
    </row>
    <row r="196" spans="3:4" ht="15.75" customHeight="1">
      <c r="C196" s="1"/>
      <c r="D196" s="2"/>
    </row>
    <row r="197" spans="3:4" ht="15.75" customHeight="1">
      <c r="C197" s="1"/>
      <c r="D197" s="2"/>
    </row>
    <row r="198" spans="3:4" ht="15.75" customHeight="1">
      <c r="C198" s="1"/>
      <c r="D198" s="2"/>
    </row>
    <row r="199" spans="3:4" ht="15.75" customHeight="1">
      <c r="C199" s="1"/>
      <c r="D199" s="2"/>
    </row>
    <row r="200" spans="3:4" ht="15.75" customHeight="1">
      <c r="C200" s="1"/>
      <c r="D200" s="2"/>
    </row>
    <row r="201" spans="3:4" ht="15.75" customHeight="1">
      <c r="C201" s="1"/>
      <c r="D201" s="2"/>
    </row>
    <row r="202" spans="3:4" ht="15.75" customHeight="1">
      <c r="C202" s="1"/>
      <c r="D202" s="2"/>
    </row>
    <row r="203" spans="3:4" ht="15.75" customHeight="1">
      <c r="C203" s="1"/>
      <c r="D203" s="2"/>
    </row>
    <row r="204" spans="3:4" ht="15.75" customHeight="1">
      <c r="C204" s="1"/>
      <c r="D204" s="2"/>
    </row>
    <row r="205" spans="3:4" ht="15.75" customHeight="1">
      <c r="C205" s="1"/>
      <c r="D205" s="2"/>
    </row>
    <row r="206" spans="3:4" ht="15.75" customHeight="1">
      <c r="C206" s="1"/>
      <c r="D206" s="2"/>
    </row>
    <row r="207" spans="3:4" ht="15.75" customHeight="1">
      <c r="C207" s="1"/>
      <c r="D207" s="2"/>
    </row>
    <row r="208" spans="3:4" ht="15.75" customHeight="1">
      <c r="C208" s="1"/>
      <c r="D208" s="2"/>
    </row>
    <row r="209" spans="3:4" ht="15.75" customHeight="1">
      <c r="C209" s="1"/>
      <c r="D209" s="2"/>
    </row>
    <row r="210" spans="3:4" ht="15.75" customHeight="1">
      <c r="C210" s="1"/>
      <c r="D210" s="2"/>
    </row>
    <row r="211" spans="3:4" ht="15.75" customHeight="1">
      <c r="C211" s="1"/>
      <c r="D211" s="2"/>
    </row>
    <row r="212" spans="3:4" ht="15.75" customHeight="1">
      <c r="C212" s="1"/>
      <c r="D212" s="2"/>
    </row>
    <row r="213" spans="3:4" ht="15.75" customHeight="1">
      <c r="C213" s="1"/>
      <c r="D213" s="2"/>
    </row>
    <row r="214" spans="3:4" ht="15.75" customHeight="1">
      <c r="C214" s="1"/>
      <c r="D214" s="2"/>
    </row>
    <row r="215" spans="3:4" ht="15.75" customHeight="1">
      <c r="C215" s="1"/>
      <c r="D215" s="2"/>
    </row>
    <row r="216" spans="3:4" ht="15.75" customHeight="1">
      <c r="C216" s="1"/>
      <c r="D216" s="2"/>
    </row>
    <row r="217" spans="3:4" ht="15.75" customHeight="1">
      <c r="C217" s="1"/>
      <c r="D217" s="2"/>
    </row>
    <row r="218" spans="3:4" ht="15.75" customHeight="1">
      <c r="C218" s="1"/>
      <c r="D218" s="2"/>
    </row>
    <row r="219" spans="3:4" ht="15.75" customHeight="1">
      <c r="C219" s="1"/>
      <c r="D219" s="2"/>
    </row>
    <row r="220" spans="3:4" ht="15.75" customHeight="1">
      <c r="C220" s="1"/>
      <c r="D220" s="2"/>
    </row>
    <row r="221" spans="3:4" ht="15.75" customHeight="1">
      <c r="C221" s="1"/>
      <c r="D221" s="2"/>
    </row>
    <row r="222" spans="3:4" ht="15.75" customHeight="1">
      <c r="C222" s="1"/>
      <c r="D222" s="2"/>
    </row>
    <row r="223" spans="3:4" ht="15.75" customHeight="1">
      <c r="C223" s="1"/>
      <c r="D223" s="2"/>
    </row>
    <row r="224" spans="3:4" ht="15.75" customHeight="1">
      <c r="C224" s="1"/>
      <c r="D224" s="2"/>
    </row>
    <row r="225" spans="3:4" ht="15.75" customHeight="1">
      <c r="C225" s="1"/>
      <c r="D225" s="2"/>
    </row>
    <row r="226" spans="3:4" ht="15.75" customHeight="1">
      <c r="C226" s="1"/>
      <c r="D226" s="2"/>
    </row>
    <row r="227" spans="3:4" ht="15.75" customHeight="1">
      <c r="C227" s="1"/>
      <c r="D227" s="2"/>
    </row>
    <row r="228" spans="3:4" ht="15.75" customHeight="1">
      <c r="C228" s="1"/>
      <c r="D228" s="2"/>
    </row>
    <row r="229" spans="3:4" ht="15.75" customHeight="1">
      <c r="C229" s="1"/>
      <c r="D229" s="2"/>
    </row>
    <row r="230" spans="3:4" ht="15.75" customHeight="1">
      <c r="C230" s="1"/>
      <c r="D230" s="2"/>
    </row>
    <row r="231" spans="3:4" ht="15.75" customHeight="1">
      <c r="C231" s="1"/>
      <c r="D231" s="2"/>
    </row>
    <row r="232" spans="3:4" ht="15.75" customHeight="1">
      <c r="C232" s="1"/>
      <c r="D232" s="2"/>
    </row>
    <row r="233" spans="3:4" ht="15.75" customHeight="1">
      <c r="C233" s="1"/>
      <c r="D233" s="2"/>
    </row>
    <row r="234" spans="3:4" ht="15.75" customHeight="1">
      <c r="C234" s="1"/>
      <c r="D234" s="2"/>
    </row>
    <row r="235" spans="3:4" ht="15.75" customHeight="1">
      <c r="C235" s="1"/>
      <c r="D235" s="2"/>
    </row>
    <row r="236" spans="3:4" ht="15.75" customHeight="1">
      <c r="C236" s="1"/>
      <c r="D236" s="2"/>
    </row>
    <row r="237" spans="3:4" ht="15.75" customHeight="1">
      <c r="C237" s="1"/>
      <c r="D237" s="2"/>
    </row>
    <row r="238" spans="3:4" ht="15.75" customHeight="1">
      <c r="C238" s="1"/>
      <c r="D238" s="2"/>
    </row>
    <row r="239" spans="3:4" ht="15.75" customHeight="1">
      <c r="C239" s="1"/>
      <c r="D239" s="2"/>
    </row>
    <row r="240" spans="3:4" ht="15.75" customHeight="1">
      <c r="C240" s="1"/>
      <c r="D240" s="2"/>
    </row>
    <row r="241" spans="3:4" ht="15.75" customHeight="1">
      <c r="C241" s="1"/>
      <c r="D241" s="2"/>
    </row>
    <row r="242" spans="3:4" ht="15.75" customHeight="1">
      <c r="C242" s="1"/>
      <c r="D242" s="2"/>
    </row>
    <row r="243" spans="3:4" ht="15.75" customHeight="1">
      <c r="C243" s="1"/>
      <c r="D243" s="2"/>
    </row>
    <row r="244" spans="3:4" ht="15.75" customHeight="1">
      <c r="C244" s="1"/>
      <c r="D244" s="2"/>
    </row>
    <row r="245" spans="3:4" ht="15.75" customHeight="1">
      <c r="C245" s="1"/>
      <c r="D245" s="2"/>
    </row>
    <row r="246" spans="3:4" ht="15.75" customHeight="1">
      <c r="C246" s="1"/>
      <c r="D246" s="2"/>
    </row>
    <row r="247" spans="3:4" ht="15.75" customHeight="1">
      <c r="C247" s="1"/>
      <c r="D247" s="2"/>
    </row>
    <row r="248" spans="3:4" ht="15.75" customHeight="1">
      <c r="C248" s="1"/>
      <c r="D248" s="2"/>
    </row>
    <row r="249" spans="3:4" ht="15.75" customHeight="1">
      <c r="C249" s="1"/>
      <c r="D249" s="2"/>
    </row>
    <row r="250" spans="3:4" ht="15.75" customHeight="1">
      <c r="C250" s="1"/>
      <c r="D250" s="2"/>
    </row>
    <row r="251" spans="3:4" ht="15.75" customHeight="1">
      <c r="C251" s="1"/>
      <c r="D251" s="2"/>
    </row>
    <row r="252" spans="3:4" ht="15.75" customHeight="1">
      <c r="C252" s="1"/>
      <c r="D252" s="2"/>
    </row>
    <row r="253" spans="3:4" ht="15.75" customHeight="1">
      <c r="C253" s="1"/>
      <c r="D253" s="2"/>
    </row>
    <row r="254" spans="3:4" ht="15.75" customHeight="1">
      <c r="C254" s="1"/>
      <c r="D254" s="2"/>
    </row>
    <row r="255" spans="3:4" ht="15.75" customHeight="1">
      <c r="C255" s="1"/>
      <c r="D255" s="2"/>
    </row>
    <row r="256" spans="3:4" ht="15.75" customHeight="1">
      <c r="C256" s="1"/>
      <c r="D256" s="2"/>
    </row>
    <row r="257" spans="3:4" ht="15.75" customHeight="1">
      <c r="C257" s="1"/>
      <c r="D257" s="2"/>
    </row>
    <row r="258" spans="3:4" ht="15.75" customHeight="1">
      <c r="C258" s="1"/>
      <c r="D258" s="2"/>
    </row>
    <row r="259" spans="3:4" ht="15.75" customHeight="1">
      <c r="C259" s="1"/>
      <c r="D259" s="2"/>
    </row>
    <row r="260" spans="3:4" ht="15.75" customHeight="1">
      <c r="C260" s="1"/>
      <c r="D260" s="2"/>
    </row>
    <row r="261" spans="3:4" ht="15.75" customHeight="1">
      <c r="C261" s="1"/>
      <c r="D261" s="2"/>
    </row>
    <row r="262" spans="3:4" ht="15.75" customHeight="1">
      <c r="C262" s="1"/>
      <c r="D262" s="2"/>
    </row>
    <row r="263" spans="3:4" ht="15.75" customHeight="1">
      <c r="C263" s="1"/>
      <c r="D263" s="2"/>
    </row>
    <row r="264" spans="3:4" ht="15.75" customHeight="1">
      <c r="C264" s="1"/>
      <c r="D264" s="2"/>
    </row>
    <row r="265" spans="3:4" ht="15.75" customHeight="1">
      <c r="C265" s="1"/>
      <c r="D265" s="2"/>
    </row>
    <row r="266" spans="3:4" ht="15.75" customHeight="1">
      <c r="C266" s="1"/>
      <c r="D266" s="2"/>
    </row>
    <row r="267" spans="3:4" ht="15.75" customHeight="1">
      <c r="C267" s="1"/>
      <c r="D267" s="2"/>
    </row>
    <row r="268" spans="3:4" ht="15.75" customHeight="1">
      <c r="C268" s="1"/>
      <c r="D268" s="2"/>
    </row>
    <row r="269" spans="3:4" ht="15.75" customHeight="1">
      <c r="C269" s="1"/>
      <c r="D269" s="2"/>
    </row>
    <row r="270" spans="3:4" ht="15.75" customHeight="1">
      <c r="C270" s="1"/>
      <c r="D270" s="2"/>
    </row>
    <row r="271" spans="3:4" ht="15.75" customHeight="1">
      <c r="C271" s="1"/>
      <c r="D271" s="2"/>
    </row>
    <row r="272" spans="3:4" ht="15.75" customHeight="1">
      <c r="C272" s="1"/>
      <c r="D272" s="2"/>
    </row>
    <row r="273" spans="3:4" ht="15.75" customHeight="1">
      <c r="C273" s="1"/>
      <c r="D273" s="2"/>
    </row>
    <row r="274" spans="3:4" ht="15.75" customHeight="1">
      <c r="C274" s="1"/>
      <c r="D274" s="2"/>
    </row>
    <row r="275" spans="3:4" ht="15.75" customHeight="1">
      <c r="C275" s="1"/>
      <c r="D275" s="2"/>
    </row>
    <row r="276" spans="3:4" ht="15.75" customHeight="1">
      <c r="C276" s="1"/>
      <c r="D276" s="2"/>
    </row>
    <row r="277" spans="3:4" ht="15.75" customHeight="1">
      <c r="C277" s="1"/>
      <c r="D277" s="2"/>
    </row>
    <row r="278" spans="3:4" ht="15.75" customHeight="1">
      <c r="C278" s="1"/>
      <c r="D278" s="2"/>
    </row>
    <row r="279" spans="3:4" ht="15.75" customHeight="1">
      <c r="C279" s="1"/>
      <c r="D279" s="2"/>
    </row>
    <row r="280" spans="3:4" ht="15.75" customHeight="1">
      <c r="C280" s="1"/>
      <c r="D280" s="2"/>
    </row>
    <row r="281" spans="3:4" ht="15.75" customHeight="1">
      <c r="C281" s="1"/>
      <c r="D281" s="2"/>
    </row>
    <row r="282" spans="3:4" ht="15.75" customHeight="1">
      <c r="C282" s="1"/>
      <c r="D282" s="2"/>
    </row>
    <row r="283" spans="3:4" ht="15.75" customHeight="1">
      <c r="C283" s="1"/>
      <c r="D283" s="2"/>
    </row>
    <row r="284" spans="3:4" ht="15.75" customHeight="1">
      <c r="C284" s="1"/>
      <c r="D284" s="2"/>
    </row>
    <row r="285" spans="3:4" ht="15.75" customHeight="1">
      <c r="C285" s="1"/>
      <c r="D285" s="2"/>
    </row>
    <row r="286" spans="3:4" ht="15.75" customHeight="1">
      <c r="C286" s="1"/>
      <c r="D286" s="2"/>
    </row>
    <row r="287" spans="3:4" ht="15.75" customHeight="1">
      <c r="C287" s="1"/>
      <c r="D287" s="2"/>
    </row>
    <row r="288" spans="3:4" ht="15.75" customHeight="1">
      <c r="C288" s="1"/>
      <c r="D288" s="2"/>
    </row>
    <row r="289" spans="3:4" ht="15.75" customHeight="1">
      <c r="C289" s="1"/>
      <c r="D289" s="2"/>
    </row>
    <row r="290" spans="3:4" ht="15.75" customHeight="1">
      <c r="C290" s="1"/>
      <c r="D290" s="2"/>
    </row>
    <row r="291" spans="3:4" ht="15.75" customHeight="1">
      <c r="C291" s="1"/>
      <c r="D291" s="2"/>
    </row>
    <row r="292" spans="3:4" ht="15.75" customHeight="1">
      <c r="C292" s="1"/>
      <c r="D292" s="2"/>
    </row>
    <row r="293" spans="3:4" ht="15.75" customHeight="1">
      <c r="C293" s="1"/>
      <c r="D293" s="2"/>
    </row>
    <row r="294" spans="3:4" ht="15.75" customHeight="1">
      <c r="C294" s="1"/>
      <c r="D294" s="2"/>
    </row>
    <row r="295" spans="3:4" ht="15.75" customHeight="1">
      <c r="C295" s="1"/>
      <c r="D295" s="2"/>
    </row>
    <row r="296" spans="3:4" ht="15.75" customHeight="1">
      <c r="C296" s="1"/>
      <c r="D296" s="2"/>
    </row>
    <row r="297" spans="3:4" ht="15.75" customHeight="1">
      <c r="C297" s="1"/>
      <c r="D297" s="2"/>
    </row>
    <row r="298" spans="3:4" ht="15.75" customHeight="1">
      <c r="C298" s="1"/>
      <c r="D298" s="2"/>
    </row>
    <row r="299" spans="3:4" ht="15.75" customHeight="1">
      <c r="C299" s="1"/>
      <c r="D299" s="2"/>
    </row>
    <row r="300" spans="3:4" ht="15.75" customHeight="1">
      <c r="C300" s="1"/>
      <c r="D300" s="2"/>
    </row>
    <row r="301" spans="3:4" ht="15.75" customHeight="1">
      <c r="C301" s="1"/>
      <c r="D301" s="2"/>
    </row>
    <row r="302" spans="3:4" ht="15.75" customHeight="1">
      <c r="C302" s="1"/>
      <c r="D302" s="2"/>
    </row>
    <row r="303" spans="3:4" ht="15.75" customHeight="1">
      <c r="C303" s="1"/>
      <c r="D303" s="2"/>
    </row>
    <row r="304" spans="3:4" ht="15.75" customHeight="1">
      <c r="C304" s="1"/>
      <c r="D304" s="2"/>
    </row>
    <row r="305" spans="3:4" ht="15.75" customHeight="1">
      <c r="C305" s="1"/>
      <c r="D305" s="2"/>
    </row>
    <row r="306" spans="3:4" ht="15.75" customHeight="1">
      <c r="C306" s="1"/>
      <c r="D306" s="2"/>
    </row>
    <row r="307" spans="3:4" ht="15.75" customHeight="1">
      <c r="C307" s="1"/>
      <c r="D307" s="2"/>
    </row>
    <row r="308" spans="3:4" ht="15.75" customHeight="1">
      <c r="C308" s="1"/>
      <c r="D308" s="2"/>
    </row>
    <row r="309" spans="3:4" ht="15.75" customHeight="1">
      <c r="C309" s="1"/>
      <c r="D309" s="2"/>
    </row>
    <row r="310" spans="3:4" ht="15.75" customHeight="1">
      <c r="C310" s="1"/>
      <c r="D310" s="2"/>
    </row>
    <row r="311" spans="3:4" ht="15.75" customHeight="1">
      <c r="C311" s="1"/>
      <c r="D311" s="2"/>
    </row>
    <row r="312" spans="3:4" ht="15.75" customHeight="1">
      <c r="C312" s="1"/>
      <c r="D312" s="2"/>
    </row>
    <row r="313" spans="3:4" ht="15.75" customHeight="1">
      <c r="C313" s="1"/>
      <c r="D313" s="2"/>
    </row>
    <row r="314" spans="3:4" ht="15.75" customHeight="1">
      <c r="C314" s="1"/>
      <c r="D314" s="2"/>
    </row>
    <row r="315" spans="3:4" ht="15.75" customHeight="1">
      <c r="C315" s="1"/>
      <c r="D315" s="2"/>
    </row>
    <row r="316" spans="3:4" ht="15.75" customHeight="1">
      <c r="C316" s="1"/>
      <c r="D316" s="2"/>
    </row>
    <row r="317" spans="3:4" ht="15.75" customHeight="1">
      <c r="C317" s="1"/>
      <c r="D317" s="2"/>
    </row>
    <row r="318" spans="3:4" ht="15.75" customHeight="1">
      <c r="C318" s="1"/>
      <c r="D318" s="2"/>
    </row>
    <row r="319" spans="3:4" ht="15.75" customHeight="1">
      <c r="C319" s="1"/>
      <c r="D319" s="2"/>
    </row>
    <row r="320" spans="3:4" ht="15.75" customHeight="1">
      <c r="C320" s="1"/>
      <c r="D320" s="2"/>
    </row>
    <row r="321" spans="3:4" ht="15.75" customHeight="1">
      <c r="C321" s="1"/>
      <c r="D321" s="2"/>
    </row>
    <row r="322" spans="3:4" ht="15.75" customHeight="1">
      <c r="C322" s="1"/>
      <c r="D322" s="2"/>
    </row>
    <row r="323" spans="3:4" ht="15.75" customHeight="1">
      <c r="C323" s="1"/>
      <c r="D323" s="2"/>
    </row>
    <row r="324" spans="3:4" ht="15.75" customHeight="1">
      <c r="C324" s="1"/>
      <c r="D324" s="2"/>
    </row>
    <row r="325" spans="3:4" ht="15.75" customHeight="1">
      <c r="C325" s="1"/>
      <c r="D325" s="2"/>
    </row>
    <row r="326" spans="3:4" ht="15.75" customHeight="1">
      <c r="C326" s="1"/>
      <c r="D326" s="2"/>
    </row>
    <row r="327" spans="3:4" ht="15.75" customHeight="1">
      <c r="C327" s="1"/>
      <c r="D327" s="2"/>
    </row>
    <row r="328" spans="3:4" ht="15.75" customHeight="1">
      <c r="C328" s="1"/>
      <c r="D328" s="2"/>
    </row>
    <row r="329" spans="3:4" ht="15.75" customHeight="1">
      <c r="C329" s="1"/>
      <c r="D329" s="2"/>
    </row>
    <row r="330" spans="3:4" ht="15.75" customHeight="1">
      <c r="C330" s="1"/>
      <c r="D330" s="2"/>
    </row>
    <row r="331" spans="3:4" ht="15.75" customHeight="1">
      <c r="C331" s="1"/>
      <c r="D331" s="2"/>
    </row>
    <row r="332" spans="3:4" ht="15.75" customHeight="1">
      <c r="C332" s="1"/>
      <c r="D332" s="2"/>
    </row>
    <row r="333" spans="3:4" ht="15.75" customHeight="1">
      <c r="C333" s="1"/>
      <c r="D333" s="2"/>
    </row>
    <row r="334" spans="3:4" ht="15.75" customHeight="1">
      <c r="C334" s="1"/>
      <c r="D334" s="2"/>
    </row>
    <row r="335" spans="3:4" ht="15.75" customHeight="1">
      <c r="C335" s="1"/>
      <c r="D335" s="2"/>
    </row>
    <row r="336" spans="3:4" ht="15.75" customHeight="1">
      <c r="C336" s="1"/>
      <c r="D336" s="2"/>
    </row>
    <row r="337" spans="3:4" ht="15.75" customHeight="1">
      <c r="C337" s="1"/>
      <c r="D337" s="2"/>
    </row>
    <row r="338" spans="3:4" ht="15.75" customHeight="1">
      <c r="C338" s="1"/>
      <c r="D338" s="2"/>
    </row>
    <row r="339" spans="3:4" ht="15.75" customHeight="1">
      <c r="C339" s="1"/>
      <c r="D339" s="2"/>
    </row>
    <row r="340" spans="3:4" ht="15.75" customHeight="1">
      <c r="C340" s="1"/>
      <c r="D340" s="2"/>
    </row>
    <row r="341" spans="3:4" ht="15.75" customHeight="1">
      <c r="C341" s="1"/>
      <c r="D341" s="2"/>
    </row>
    <row r="342" spans="3:4" ht="15.75" customHeight="1">
      <c r="C342" s="1"/>
      <c r="D342" s="2"/>
    </row>
    <row r="343" spans="3:4" ht="15.75" customHeight="1">
      <c r="C343" s="1"/>
      <c r="D343" s="2"/>
    </row>
    <row r="344" spans="3:4" ht="15.75" customHeight="1">
      <c r="C344" s="1"/>
      <c r="D344" s="2"/>
    </row>
    <row r="345" spans="3:4" ht="15.75" customHeight="1">
      <c r="C345" s="1"/>
      <c r="D345" s="2"/>
    </row>
    <row r="346" spans="3:4" ht="15.75" customHeight="1">
      <c r="C346" s="1"/>
      <c r="D346" s="2"/>
    </row>
    <row r="347" spans="3:4" ht="15.75" customHeight="1">
      <c r="C347" s="1"/>
      <c r="D347" s="2"/>
    </row>
    <row r="348" spans="3:4" ht="15.75" customHeight="1">
      <c r="C348" s="1"/>
      <c r="D348" s="2"/>
    </row>
    <row r="349" spans="3:4" ht="15.75" customHeight="1">
      <c r="C349" s="1"/>
      <c r="D349" s="2"/>
    </row>
    <row r="350" spans="3:4" ht="15.75" customHeight="1">
      <c r="C350" s="1"/>
      <c r="D350" s="2"/>
    </row>
    <row r="351" spans="3:4" ht="15.75" customHeight="1">
      <c r="C351" s="1"/>
      <c r="D351" s="2"/>
    </row>
    <row r="352" spans="3:4" ht="15.75" customHeight="1">
      <c r="C352" s="1"/>
      <c r="D352" s="2"/>
    </row>
    <row r="353" spans="3:4" ht="15.75" customHeight="1">
      <c r="C353" s="1"/>
      <c r="D353" s="2"/>
    </row>
    <row r="354" spans="3:4" ht="15.75" customHeight="1">
      <c r="C354" s="1"/>
      <c r="D354" s="2"/>
    </row>
    <row r="355" spans="3:4" ht="15.75" customHeight="1">
      <c r="C355" s="1"/>
      <c r="D355" s="2"/>
    </row>
    <row r="356" spans="3:4" ht="15.75" customHeight="1">
      <c r="C356" s="1"/>
      <c r="D356" s="2"/>
    </row>
    <row r="357" spans="3:4" ht="15.75" customHeight="1">
      <c r="C357" s="1"/>
      <c r="D357" s="2"/>
    </row>
    <row r="358" spans="3:4" ht="15.75" customHeight="1">
      <c r="C358" s="1"/>
      <c r="D358" s="2"/>
    </row>
    <row r="359" spans="3:4" ht="15.75" customHeight="1">
      <c r="C359" s="1"/>
      <c r="D359" s="2"/>
    </row>
    <row r="360" spans="3:4" ht="15.75" customHeight="1">
      <c r="C360" s="1"/>
      <c r="D360" s="2"/>
    </row>
    <row r="361" spans="3:4" ht="15.75" customHeight="1">
      <c r="C361" s="1"/>
      <c r="D361" s="2"/>
    </row>
    <row r="362" spans="3:4" ht="15.75" customHeight="1">
      <c r="C362" s="1"/>
      <c r="D362" s="2"/>
    </row>
    <row r="363" spans="3:4" ht="15.75" customHeight="1">
      <c r="C363" s="1"/>
      <c r="D363" s="2"/>
    </row>
    <row r="364" spans="3:4" ht="15.75" customHeight="1">
      <c r="C364" s="1"/>
      <c r="D364" s="2"/>
    </row>
    <row r="365" spans="3:4" ht="15.75" customHeight="1">
      <c r="C365" s="1"/>
      <c r="D365" s="2"/>
    </row>
    <row r="366" spans="3:4" ht="15.75" customHeight="1">
      <c r="C366" s="1"/>
      <c r="D366" s="2"/>
    </row>
    <row r="367" spans="3:4" ht="15.75" customHeight="1">
      <c r="C367" s="1"/>
      <c r="D367" s="2"/>
    </row>
    <row r="368" spans="3:4" ht="15.75" customHeight="1">
      <c r="C368" s="1"/>
      <c r="D368" s="2"/>
    </row>
    <row r="369" spans="3:4" ht="15.75" customHeight="1">
      <c r="C369" s="1"/>
      <c r="D369" s="2"/>
    </row>
    <row r="370" spans="3:4" ht="15.75" customHeight="1">
      <c r="C370" s="1"/>
      <c r="D370" s="2"/>
    </row>
    <row r="371" spans="3:4" ht="15.75" customHeight="1">
      <c r="C371" s="1"/>
      <c r="D371" s="2"/>
    </row>
    <row r="372" spans="3:4" ht="15.75" customHeight="1">
      <c r="C372" s="1"/>
      <c r="D372" s="2"/>
    </row>
    <row r="373" spans="3:4" ht="15.75" customHeight="1">
      <c r="C373" s="1"/>
      <c r="D373" s="2"/>
    </row>
    <row r="374" spans="3:4" ht="15.75" customHeight="1">
      <c r="C374" s="1"/>
      <c r="D374" s="2"/>
    </row>
    <row r="375" spans="3:4" ht="15.75" customHeight="1">
      <c r="C375" s="1"/>
      <c r="D375" s="2"/>
    </row>
    <row r="376" spans="3:4" ht="15.75" customHeight="1">
      <c r="C376" s="1"/>
      <c r="D376" s="2"/>
    </row>
    <row r="377" spans="3:4" ht="15.75" customHeight="1">
      <c r="C377" s="1"/>
      <c r="D377" s="2"/>
    </row>
    <row r="378" spans="3:4" ht="15.75" customHeight="1">
      <c r="C378" s="1"/>
      <c r="D378" s="2"/>
    </row>
    <row r="379" spans="3:4" ht="15.75" customHeight="1">
      <c r="C379" s="1"/>
      <c r="D379" s="2"/>
    </row>
    <row r="380" spans="3:4" ht="15.75" customHeight="1">
      <c r="C380" s="1"/>
      <c r="D380" s="2"/>
    </row>
    <row r="381" spans="3:4" ht="15.75" customHeight="1">
      <c r="C381" s="1"/>
      <c r="D381" s="2"/>
    </row>
    <row r="382" spans="3:4" ht="15.75" customHeight="1">
      <c r="C382" s="1"/>
      <c r="D382" s="2"/>
    </row>
    <row r="383" spans="3:4" ht="15.75" customHeight="1">
      <c r="C383" s="1"/>
      <c r="D383" s="2"/>
    </row>
    <row r="384" spans="3:4" ht="15.75" customHeight="1">
      <c r="C384" s="1"/>
      <c r="D384" s="2"/>
    </row>
    <row r="385" spans="3:4" ht="15.75" customHeight="1">
      <c r="C385" s="1"/>
      <c r="D385" s="2"/>
    </row>
    <row r="386" spans="3:4" ht="15.75" customHeight="1">
      <c r="C386" s="1"/>
      <c r="D386" s="2"/>
    </row>
    <row r="387" spans="3:4" ht="15.75" customHeight="1">
      <c r="C387" s="1"/>
      <c r="D387" s="2"/>
    </row>
    <row r="388" spans="3:4" ht="15.75" customHeight="1">
      <c r="C388" s="1"/>
      <c r="D388" s="2"/>
    </row>
    <row r="389" spans="3:4" ht="15.75" customHeight="1">
      <c r="C389" s="1"/>
      <c r="D389" s="2"/>
    </row>
    <row r="390" spans="3:4" ht="15.75" customHeight="1">
      <c r="C390" s="1"/>
      <c r="D390" s="2"/>
    </row>
    <row r="391" spans="3:4" ht="15.75" customHeight="1">
      <c r="C391" s="1"/>
      <c r="D391" s="2"/>
    </row>
    <row r="392" spans="3:4" ht="15.75" customHeight="1">
      <c r="C392" s="1"/>
      <c r="D392" s="2"/>
    </row>
    <row r="393" spans="3:4" ht="15.75" customHeight="1">
      <c r="C393" s="1"/>
      <c r="D393" s="2"/>
    </row>
    <row r="394" spans="3:4" ht="15.75" customHeight="1">
      <c r="C394" s="1"/>
      <c r="D394" s="2"/>
    </row>
    <row r="395" spans="3:4" ht="15.75" customHeight="1">
      <c r="C395" s="1"/>
      <c r="D395" s="2"/>
    </row>
    <row r="396" spans="3:4" ht="15.75" customHeight="1">
      <c r="C396" s="1"/>
      <c r="D396" s="2"/>
    </row>
    <row r="397" spans="3:4" ht="15.75" customHeight="1">
      <c r="C397" s="1"/>
      <c r="D397" s="2"/>
    </row>
    <row r="398" spans="3:4" ht="15.75" customHeight="1">
      <c r="C398" s="1"/>
      <c r="D398" s="2"/>
    </row>
    <row r="399" spans="3:4" ht="15.75" customHeight="1">
      <c r="C399" s="1"/>
      <c r="D399" s="2"/>
    </row>
    <row r="400" spans="3:4" ht="15.75" customHeight="1">
      <c r="C400" s="1"/>
      <c r="D400" s="2"/>
    </row>
    <row r="401" spans="3:4" ht="15.75" customHeight="1">
      <c r="C401" s="1"/>
      <c r="D401" s="2"/>
    </row>
    <row r="402" spans="3:4" ht="15.75" customHeight="1">
      <c r="C402" s="1"/>
      <c r="D402" s="2"/>
    </row>
    <row r="403" spans="3:4" ht="15.75" customHeight="1">
      <c r="C403" s="1"/>
      <c r="D403" s="2"/>
    </row>
    <row r="404" spans="3:4" ht="15.75" customHeight="1">
      <c r="C404" s="1"/>
      <c r="D404" s="2"/>
    </row>
    <row r="405" spans="3:4" ht="15.75" customHeight="1">
      <c r="C405" s="1"/>
      <c r="D405" s="2"/>
    </row>
    <row r="406" spans="3:4" ht="15.75" customHeight="1">
      <c r="C406" s="1"/>
      <c r="D406" s="2"/>
    </row>
    <row r="407" spans="3:4" ht="15.75" customHeight="1">
      <c r="C407" s="1"/>
      <c r="D407" s="2"/>
    </row>
    <row r="408" spans="3:4" ht="15.75" customHeight="1">
      <c r="C408" s="1"/>
      <c r="D408" s="2"/>
    </row>
    <row r="409" spans="3:4" ht="15.75" customHeight="1">
      <c r="C409" s="1"/>
      <c r="D409" s="2"/>
    </row>
    <row r="410" spans="3:4" ht="15.75" customHeight="1">
      <c r="C410" s="1"/>
      <c r="D410" s="2"/>
    </row>
    <row r="411" spans="3:4" ht="15.75" customHeight="1">
      <c r="C411" s="1"/>
      <c r="D411" s="2"/>
    </row>
    <row r="412" spans="3:4" ht="15.75" customHeight="1">
      <c r="C412" s="1"/>
      <c r="D412" s="2"/>
    </row>
    <row r="413" spans="3:4" ht="15.75" customHeight="1">
      <c r="C413" s="1"/>
      <c r="D413" s="2"/>
    </row>
    <row r="414" spans="3:4" ht="15.75" customHeight="1">
      <c r="C414" s="1"/>
      <c r="D414" s="2"/>
    </row>
    <row r="415" spans="3:4" ht="15.75" customHeight="1">
      <c r="C415" s="1"/>
      <c r="D415" s="2"/>
    </row>
    <row r="416" spans="3:4" ht="15.75" customHeight="1">
      <c r="C416" s="1"/>
      <c r="D416" s="2"/>
    </row>
    <row r="417" spans="3:4" ht="15.75" customHeight="1">
      <c r="C417" s="1"/>
      <c r="D417" s="2"/>
    </row>
    <row r="418" spans="3:4" ht="15.75" customHeight="1">
      <c r="C418" s="1"/>
      <c r="D418" s="2"/>
    </row>
    <row r="419" spans="3:4" ht="15.75" customHeight="1">
      <c r="C419" s="1"/>
      <c r="D419" s="2"/>
    </row>
    <row r="420" spans="3:4" ht="15.75" customHeight="1">
      <c r="C420" s="1"/>
      <c r="D420" s="2"/>
    </row>
    <row r="421" spans="3:4" ht="15.75" customHeight="1">
      <c r="C421" s="1"/>
      <c r="D421" s="2"/>
    </row>
    <row r="422" spans="3:4" ht="15.75" customHeight="1">
      <c r="C422" s="1"/>
      <c r="D422" s="2"/>
    </row>
    <row r="423" spans="3:4" ht="15.75" customHeight="1">
      <c r="C423" s="1"/>
      <c r="D423" s="2"/>
    </row>
    <row r="424" spans="3:4" ht="15.75" customHeight="1">
      <c r="C424" s="1"/>
      <c r="D424" s="2"/>
    </row>
    <row r="425" spans="3:4" ht="15.75" customHeight="1">
      <c r="C425" s="1"/>
      <c r="D425" s="2"/>
    </row>
    <row r="426" spans="3:4" ht="15.75" customHeight="1">
      <c r="C426" s="1"/>
      <c r="D426" s="2"/>
    </row>
    <row r="427" spans="3:4" ht="15.75" customHeight="1">
      <c r="C427" s="1"/>
      <c r="D427" s="2"/>
    </row>
    <row r="428" spans="3:4" ht="15.75" customHeight="1">
      <c r="C428" s="1"/>
      <c r="D428" s="2"/>
    </row>
    <row r="429" spans="3:4" ht="15.75" customHeight="1">
      <c r="C429" s="1"/>
      <c r="D429" s="2"/>
    </row>
    <row r="430" spans="3:4" ht="15.75" customHeight="1">
      <c r="C430" s="1"/>
      <c r="D430" s="2"/>
    </row>
    <row r="431" spans="3:4" ht="15.75" customHeight="1">
      <c r="C431" s="1"/>
      <c r="D431" s="2"/>
    </row>
    <row r="432" spans="3:4" ht="15.75" customHeight="1">
      <c r="C432" s="1"/>
      <c r="D432" s="2"/>
    </row>
    <row r="433" spans="3:4" ht="15.75" customHeight="1">
      <c r="C433" s="1"/>
      <c r="D433" s="2"/>
    </row>
    <row r="434" spans="3:4" ht="15.75" customHeight="1">
      <c r="C434" s="1"/>
      <c r="D434" s="2"/>
    </row>
    <row r="435" spans="3:4" ht="15.75" customHeight="1">
      <c r="C435" s="1"/>
      <c r="D435" s="2"/>
    </row>
    <row r="436" spans="3:4" ht="15.75" customHeight="1">
      <c r="C436" s="1"/>
      <c r="D436" s="2"/>
    </row>
    <row r="437" spans="3:4" ht="15.75" customHeight="1">
      <c r="C437" s="1"/>
      <c r="D437" s="2"/>
    </row>
    <row r="438" spans="3:4" ht="15.75" customHeight="1">
      <c r="C438" s="1"/>
      <c r="D438" s="2"/>
    </row>
    <row r="439" spans="3:4" ht="15.75" customHeight="1">
      <c r="C439" s="1"/>
      <c r="D439" s="2"/>
    </row>
    <row r="440" spans="3:4" ht="15.75" customHeight="1">
      <c r="C440" s="1"/>
      <c r="D440" s="2"/>
    </row>
    <row r="441" spans="3:4" ht="15.75" customHeight="1">
      <c r="C441" s="1"/>
      <c r="D441" s="2"/>
    </row>
    <row r="442" spans="3:4" ht="15.75" customHeight="1">
      <c r="C442" s="1"/>
      <c r="D442" s="2"/>
    </row>
    <row r="443" spans="3:4" ht="15.75" customHeight="1">
      <c r="C443" s="1"/>
      <c r="D443" s="2"/>
    </row>
    <row r="444" spans="3:4" ht="15.75" customHeight="1">
      <c r="C444" s="1"/>
      <c r="D444" s="2"/>
    </row>
    <row r="445" spans="3:4" ht="15.75" customHeight="1">
      <c r="C445" s="1"/>
      <c r="D445" s="2"/>
    </row>
    <row r="446" spans="3:4" ht="15.75" customHeight="1">
      <c r="C446" s="1"/>
      <c r="D446" s="2"/>
    </row>
    <row r="447" spans="3:4" ht="15.75" customHeight="1">
      <c r="C447" s="1"/>
      <c r="D447" s="2"/>
    </row>
    <row r="448" spans="3:4" ht="15.75" customHeight="1">
      <c r="C448" s="1"/>
      <c r="D448" s="2"/>
    </row>
    <row r="449" spans="3:4" ht="15.75" customHeight="1">
      <c r="C449" s="1"/>
      <c r="D449" s="2"/>
    </row>
    <row r="450" spans="3:4" ht="15.75" customHeight="1">
      <c r="C450" s="1"/>
      <c r="D450" s="2"/>
    </row>
    <row r="451" spans="3:4" ht="15.75" customHeight="1">
      <c r="C451" s="1"/>
      <c r="D451" s="2"/>
    </row>
    <row r="452" spans="3:4" ht="15.75" customHeight="1">
      <c r="C452" s="1"/>
      <c r="D452" s="2"/>
    </row>
    <row r="453" spans="3:4" ht="15.75" customHeight="1">
      <c r="C453" s="1"/>
      <c r="D453" s="2"/>
    </row>
    <row r="454" spans="3:4" ht="15.75" customHeight="1">
      <c r="C454" s="1"/>
      <c r="D454" s="2"/>
    </row>
    <row r="455" spans="3:4" ht="15.75" customHeight="1">
      <c r="C455" s="1"/>
      <c r="D455" s="2"/>
    </row>
    <row r="456" spans="3:4" ht="15.75" customHeight="1">
      <c r="C456" s="1"/>
      <c r="D456" s="2"/>
    </row>
    <row r="457" spans="3:4" ht="15.75" customHeight="1">
      <c r="C457" s="1"/>
      <c r="D457" s="2"/>
    </row>
    <row r="458" spans="3:4" ht="15.75" customHeight="1">
      <c r="C458" s="1"/>
      <c r="D458" s="2"/>
    </row>
    <row r="459" spans="3:4" ht="15.75" customHeight="1">
      <c r="C459" s="1"/>
      <c r="D459" s="2"/>
    </row>
    <row r="460" spans="3:4" ht="15.75" customHeight="1">
      <c r="C460" s="1"/>
      <c r="D460" s="2"/>
    </row>
    <row r="461" spans="3:4" ht="15.75" customHeight="1">
      <c r="C461" s="1"/>
      <c r="D461" s="2"/>
    </row>
    <row r="462" spans="3:4" ht="15.75" customHeight="1">
      <c r="C462" s="1"/>
      <c r="D462" s="2"/>
    </row>
    <row r="463" spans="3:4" ht="15.75" customHeight="1">
      <c r="C463" s="1"/>
      <c r="D463" s="2"/>
    </row>
    <row r="464" spans="3:4" ht="15.75" customHeight="1">
      <c r="C464" s="1"/>
      <c r="D464" s="2"/>
    </row>
    <row r="465" spans="3:4" ht="15.75" customHeight="1">
      <c r="C465" s="1"/>
      <c r="D465" s="2"/>
    </row>
    <row r="466" spans="3:4" ht="15.75" customHeight="1">
      <c r="C466" s="1"/>
      <c r="D466" s="2"/>
    </row>
    <row r="467" spans="3:4" ht="15.75" customHeight="1">
      <c r="C467" s="1"/>
      <c r="D467" s="2"/>
    </row>
    <row r="468" spans="3:4" ht="15.75" customHeight="1">
      <c r="C468" s="1"/>
      <c r="D468" s="2"/>
    </row>
    <row r="469" spans="3:4" ht="15.75" customHeight="1">
      <c r="C469" s="1"/>
      <c r="D469" s="2"/>
    </row>
    <row r="470" spans="3:4" ht="15.75" customHeight="1">
      <c r="C470" s="1"/>
      <c r="D470" s="2"/>
    </row>
    <row r="471" spans="3:4" ht="15.75" customHeight="1">
      <c r="C471" s="1"/>
      <c r="D471" s="2"/>
    </row>
    <row r="472" spans="3:4" ht="15.75" customHeight="1">
      <c r="C472" s="1"/>
      <c r="D472" s="2"/>
    </row>
    <row r="473" spans="3:4" ht="15.75" customHeight="1">
      <c r="C473" s="1"/>
      <c r="D473" s="2"/>
    </row>
    <row r="474" spans="3:4" ht="15.75" customHeight="1">
      <c r="C474" s="1"/>
      <c r="D474" s="2"/>
    </row>
    <row r="475" spans="3:4" ht="15.75" customHeight="1">
      <c r="C475" s="1"/>
      <c r="D475" s="2"/>
    </row>
    <row r="476" spans="3:4" ht="15.75" customHeight="1">
      <c r="C476" s="1"/>
      <c r="D476" s="2"/>
    </row>
    <row r="477" spans="3:4" ht="15.75" customHeight="1">
      <c r="C477" s="1"/>
      <c r="D477" s="2"/>
    </row>
    <row r="478" spans="3:4" ht="15.75" customHeight="1">
      <c r="C478" s="1"/>
      <c r="D478" s="2"/>
    </row>
    <row r="479" spans="3:4" ht="15.75" customHeight="1">
      <c r="C479" s="1"/>
      <c r="D479" s="2"/>
    </row>
    <row r="480" spans="3:4" ht="15.75" customHeight="1">
      <c r="C480" s="1"/>
      <c r="D480" s="2"/>
    </row>
    <row r="481" spans="3:4" ht="15.75" customHeight="1">
      <c r="C481" s="1"/>
      <c r="D481" s="2"/>
    </row>
    <row r="482" spans="3:4" ht="15.75" customHeight="1">
      <c r="C482" s="1"/>
      <c r="D482" s="2"/>
    </row>
    <row r="483" spans="3:4" ht="15.75" customHeight="1">
      <c r="C483" s="1"/>
      <c r="D483" s="2"/>
    </row>
    <row r="484" spans="3:4" ht="15.75" customHeight="1">
      <c r="C484" s="1"/>
      <c r="D484" s="2"/>
    </row>
    <row r="485" spans="3:4" ht="15.75" customHeight="1">
      <c r="C485" s="1"/>
      <c r="D485" s="2"/>
    </row>
    <row r="486" spans="3:4" ht="15.75" customHeight="1">
      <c r="C486" s="1"/>
      <c r="D486" s="2"/>
    </row>
    <row r="487" spans="3:4" ht="15.75" customHeight="1">
      <c r="C487" s="1"/>
      <c r="D487" s="2"/>
    </row>
    <row r="488" spans="3:4" ht="15.75" customHeight="1">
      <c r="C488" s="1"/>
      <c r="D488" s="2"/>
    </row>
    <row r="489" spans="3:4" ht="15.75" customHeight="1">
      <c r="C489" s="1"/>
      <c r="D489" s="2"/>
    </row>
    <row r="490" spans="3:4" ht="15.75" customHeight="1">
      <c r="C490" s="1"/>
      <c r="D490" s="2"/>
    </row>
    <row r="491" spans="3:4" ht="15.75" customHeight="1">
      <c r="C491" s="1"/>
      <c r="D491" s="2"/>
    </row>
    <row r="492" spans="3:4" ht="15.75" customHeight="1">
      <c r="C492" s="1"/>
      <c r="D492" s="2"/>
    </row>
    <row r="493" spans="3:4" ht="15.75" customHeight="1">
      <c r="C493" s="1"/>
      <c r="D493" s="2"/>
    </row>
    <row r="494" spans="3:4" ht="15.75" customHeight="1">
      <c r="C494" s="1"/>
      <c r="D494" s="2"/>
    </row>
    <row r="495" spans="3:4" ht="15.75" customHeight="1">
      <c r="C495" s="1"/>
      <c r="D495" s="2"/>
    </row>
    <row r="496" spans="3:4" ht="15.75" customHeight="1">
      <c r="C496" s="1"/>
      <c r="D496" s="2"/>
    </row>
    <row r="497" spans="3:4" ht="15.75" customHeight="1">
      <c r="C497" s="1"/>
      <c r="D497" s="2"/>
    </row>
    <row r="498" spans="3:4" ht="15.75" customHeight="1">
      <c r="C498" s="1"/>
      <c r="D498" s="2"/>
    </row>
    <row r="499" spans="3:4" ht="15.75" customHeight="1">
      <c r="C499" s="1"/>
      <c r="D499" s="2"/>
    </row>
    <row r="500" spans="3:4" ht="15.75" customHeight="1">
      <c r="C500" s="1"/>
      <c r="D500" s="2"/>
    </row>
    <row r="501" spans="3:4" ht="15.75" customHeight="1">
      <c r="C501" s="1"/>
      <c r="D501" s="2"/>
    </row>
    <row r="502" spans="3:4" ht="15.75" customHeight="1">
      <c r="C502" s="1"/>
      <c r="D502" s="2"/>
    </row>
    <row r="503" spans="3:4" ht="15.75" customHeight="1">
      <c r="C503" s="1"/>
      <c r="D503" s="2"/>
    </row>
    <row r="504" spans="3:4" ht="15.75" customHeight="1">
      <c r="C504" s="1"/>
      <c r="D504" s="2"/>
    </row>
    <row r="505" spans="3:4" ht="15.75" customHeight="1">
      <c r="C505" s="1"/>
      <c r="D505" s="2"/>
    </row>
    <row r="506" spans="3:4" ht="15.75" customHeight="1">
      <c r="C506" s="1"/>
      <c r="D506" s="2"/>
    </row>
    <row r="507" spans="3:4" ht="15.75" customHeight="1">
      <c r="C507" s="1"/>
      <c r="D507" s="2"/>
    </row>
    <row r="508" spans="3:4" ht="15.75" customHeight="1">
      <c r="C508" s="1"/>
      <c r="D508" s="2"/>
    </row>
    <row r="509" spans="3:4" ht="15.75" customHeight="1">
      <c r="C509" s="1"/>
      <c r="D509" s="2"/>
    </row>
    <row r="510" spans="3:4" ht="15.75" customHeight="1">
      <c r="C510" s="1"/>
      <c r="D510" s="2"/>
    </row>
    <row r="511" spans="3:4" ht="15.75" customHeight="1">
      <c r="C511" s="1"/>
      <c r="D511" s="2"/>
    </row>
    <row r="512" spans="3:4" ht="15.75" customHeight="1">
      <c r="C512" s="1"/>
      <c r="D512" s="2"/>
    </row>
    <row r="513" spans="3:4" ht="15.75" customHeight="1">
      <c r="C513" s="1"/>
      <c r="D513" s="2"/>
    </row>
    <row r="514" spans="3:4" ht="15.75" customHeight="1">
      <c r="C514" s="1"/>
      <c r="D514" s="2"/>
    </row>
    <row r="515" spans="3:4" ht="15.75" customHeight="1">
      <c r="C515" s="1"/>
      <c r="D515" s="2"/>
    </row>
    <row r="516" spans="3:4" ht="15.75" customHeight="1">
      <c r="C516" s="1"/>
      <c r="D516" s="2"/>
    </row>
    <row r="517" spans="3:4" ht="15.75" customHeight="1">
      <c r="C517" s="1"/>
      <c r="D517" s="2"/>
    </row>
    <row r="518" spans="3:4" ht="15.75" customHeight="1">
      <c r="C518" s="1"/>
      <c r="D518" s="2"/>
    </row>
    <row r="519" spans="3:4" ht="15.75" customHeight="1">
      <c r="C519" s="1"/>
      <c r="D519" s="2"/>
    </row>
    <row r="520" spans="3:4" ht="15.75" customHeight="1">
      <c r="C520" s="1"/>
      <c r="D520" s="2"/>
    </row>
    <row r="521" spans="3:4" ht="15.75" customHeight="1">
      <c r="C521" s="1"/>
      <c r="D521" s="2"/>
    </row>
    <row r="522" spans="3:4" ht="15.75" customHeight="1">
      <c r="C522" s="1"/>
      <c r="D522" s="2"/>
    </row>
    <row r="523" spans="3:4" ht="15.75" customHeight="1">
      <c r="C523" s="1"/>
      <c r="D523" s="2"/>
    </row>
    <row r="524" spans="3:4" ht="15.75" customHeight="1">
      <c r="C524" s="1"/>
      <c r="D524" s="2"/>
    </row>
    <row r="525" spans="3:4" ht="15.75" customHeight="1">
      <c r="C525" s="1"/>
      <c r="D525" s="2"/>
    </row>
    <row r="526" spans="3:4" ht="15.75" customHeight="1">
      <c r="C526" s="1"/>
      <c r="D526" s="2"/>
    </row>
    <row r="527" spans="3:4" ht="15.75" customHeight="1">
      <c r="C527" s="1"/>
      <c r="D527" s="2"/>
    </row>
    <row r="528" spans="3:4" ht="15.75" customHeight="1">
      <c r="C528" s="1"/>
      <c r="D528" s="2"/>
    </row>
    <row r="529" spans="3:4" ht="15.75" customHeight="1">
      <c r="C529" s="1"/>
      <c r="D529" s="2"/>
    </row>
    <row r="530" spans="3:4" ht="15.75" customHeight="1">
      <c r="C530" s="1"/>
      <c r="D530" s="2"/>
    </row>
    <row r="531" spans="3:4" ht="15.75" customHeight="1">
      <c r="C531" s="1"/>
      <c r="D531" s="2"/>
    </row>
    <row r="532" spans="3:4" ht="15.75" customHeight="1">
      <c r="C532" s="1"/>
      <c r="D532" s="2"/>
    </row>
    <row r="533" spans="3:4" ht="15.75" customHeight="1">
      <c r="C533" s="1"/>
      <c r="D533" s="2"/>
    </row>
    <row r="534" spans="3:4" ht="15.75" customHeight="1">
      <c r="C534" s="1"/>
      <c r="D534" s="2"/>
    </row>
    <row r="535" spans="3:4" ht="15.75" customHeight="1">
      <c r="C535" s="1"/>
      <c r="D535" s="2"/>
    </row>
    <row r="536" spans="3:4" ht="15.75" customHeight="1">
      <c r="C536" s="1"/>
      <c r="D536" s="2"/>
    </row>
    <row r="537" spans="3:4" ht="15.75" customHeight="1">
      <c r="C537" s="1"/>
      <c r="D537" s="2"/>
    </row>
    <row r="538" spans="3:4" ht="15.75" customHeight="1">
      <c r="C538" s="1"/>
      <c r="D538" s="2"/>
    </row>
    <row r="539" spans="3:4" ht="15.75" customHeight="1">
      <c r="C539" s="1"/>
      <c r="D539" s="2"/>
    </row>
    <row r="540" spans="3:4" ht="15.75" customHeight="1">
      <c r="C540" s="1"/>
      <c r="D540" s="2"/>
    </row>
    <row r="541" spans="3:4" ht="15.75" customHeight="1">
      <c r="C541" s="1"/>
      <c r="D541" s="2"/>
    </row>
    <row r="542" spans="3:4" ht="15.75" customHeight="1">
      <c r="C542" s="1"/>
      <c r="D542" s="2"/>
    </row>
    <row r="543" spans="3:4" ht="15.75" customHeight="1">
      <c r="C543" s="1"/>
      <c r="D543" s="2"/>
    </row>
    <row r="544" spans="3:4" ht="15.75" customHeight="1">
      <c r="C544" s="1"/>
      <c r="D544" s="2"/>
    </row>
    <row r="545" spans="3:4" ht="15.75" customHeight="1">
      <c r="C545" s="1"/>
      <c r="D545" s="2"/>
    </row>
    <row r="546" spans="3:4" ht="15.75" customHeight="1">
      <c r="C546" s="1"/>
      <c r="D546" s="2"/>
    </row>
    <row r="547" spans="3:4" ht="15.75" customHeight="1">
      <c r="C547" s="1"/>
      <c r="D547" s="2"/>
    </row>
    <row r="548" spans="3:4" ht="15.75" customHeight="1">
      <c r="C548" s="1"/>
      <c r="D548" s="2"/>
    </row>
    <row r="549" spans="3:4" ht="15.75" customHeight="1">
      <c r="C549" s="1"/>
      <c r="D549" s="2"/>
    </row>
    <row r="550" spans="3:4" ht="15.75" customHeight="1">
      <c r="C550" s="1"/>
      <c r="D550" s="2"/>
    </row>
    <row r="551" spans="3:4" ht="15.75" customHeight="1">
      <c r="C551" s="1"/>
      <c r="D551" s="2"/>
    </row>
    <row r="552" spans="3:4" ht="15.75" customHeight="1">
      <c r="C552" s="1"/>
      <c r="D552" s="2"/>
    </row>
    <row r="553" spans="3:4" ht="15.75" customHeight="1">
      <c r="C553" s="1"/>
      <c r="D553" s="2"/>
    </row>
    <row r="554" spans="3:4" ht="15.75" customHeight="1">
      <c r="C554" s="1"/>
      <c r="D554" s="2"/>
    </row>
    <row r="555" spans="3:4" ht="15.75" customHeight="1">
      <c r="C555" s="1"/>
      <c r="D555" s="2"/>
    </row>
    <row r="556" spans="3:4" ht="15.75" customHeight="1">
      <c r="C556" s="1"/>
      <c r="D556" s="2"/>
    </row>
    <row r="557" spans="3:4" ht="15.75" customHeight="1">
      <c r="C557" s="1"/>
      <c r="D557" s="2"/>
    </row>
    <row r="558" spans="3:4" ht="15.75" customHeight="1">
      <c r="C558" s="1"/>
      <c r="D558" s="2"/>
    </row>
    <row r="559" spans="3:4" ht="15.75" customHeight="1">
      <c r="C559" s="1"/>
      <c r="D559" s="2"/>
    </row>
    <row r="560" spans="3:4" ht="15.75" customHeight="1">
      <c r="C560" s="1"/>
      <c r="D560" s="2"/>
    </row>
    <row r="561" spans="3:4" ht="15.75" customHeight="1">
      <c r="C561" s="1"/>
      <c r="D561" s="2"/>
    </row>
    <row r="562" spans="3:4" ht="15.75" customHeight="1">
      <c r="C562" s="1"/>
      <c r="D562" s="2"/>
    </row>
    <row r="563" spans="3:4" ht="15.75" customHeight="1">
      <c r="C563" s="1"/>
      <c r="D563" s="2"/>
    </row>
    <row r="564" spans="3:4" ht="15.75" customHeight="1">
      <c r="C564" s="1"/>
      <c r="D564" s="2"/>
    </row>
    <row r="565" spans="3:4" ht="15.75" customHeight="1">
      <c r="C565" s="1"/>
      <c r="D565" s="2"/>
    </row>
    <row r="566" spans="3:4" ht="15.75" customHeight="1">
      <c r="C566" s="1"/>
      <c r="D566" s="2"/>
    </row>
    <row r="567" spans="3:4" ht="15.75" customHeight="1">
      <c r="C567" s="1"/>
      <c r="D567" s="2"/>
    </row>
    <row r="568" spans="3:4" ht="15.75" customHeight="1">
      <c r="C568" s="1"/>
      <c r="D568" s="2"/>
    </row>
    <row r="569" spans="3:4" ht="15.75" customHeight="1">
      <c r="C569" s="1"/>
      <c r="D569" s="2"/>
    </row>
    <row r="570" spans="3:4" ht="15.75" customHeight="1">
      <c r="C570" s="1"/>
      <c r="D570" s="2"/>
    </row>
    <row r="571" spans="3:4" ht="15.75" customHeight="1">
      <c r="C571" s="1"/>
      <c r="D571" s="2"/>
    </row>
    <row r="572" spans="3:4" ht="15.75" customHeight="1">
      <c r="C572" s="1"/>
      <c r="D572" s="2"/>
    </row>
    <row r="573" spans="3:4" ht="15.75" customHeight="1">
      <c r="C573" s="1"/>
      <c r="D573" s="2"/>
    </row>
    <row r="574" spans="3:4" ht="15.75" customHeight="1">
      <c r="C574" s="1"/>
      <c r="D574" s="2"/>
    </row>
    <row r="575" spans="3:4" ht="15.75" customHeight="1">
      <c r="C575" s="1"/>
      <c r="D575" s="2"/>
    </row>
    <row r="576" spans="3:4" ht="15.75" customHeight="1">
      <c r="C576" s="1"/>
      <c r="D576" s="2"/>
    </row>
    <row r="577" spans="3:4" ht="15.75" customHeight="1">
      <c r="C577" s="1"/>
      <c r="D577" s="2"/>
    </row>
    <row r="578" spans="3:4" ht="15.75" customHeight="1">
      <c r="C578" s="1"/>
      <c r="D578" s="2"/>
    </row>
    <row r="579" spans="3:4" ht="15.75" customHeight="1">
      <c r="C579" s="1"/>
      <c r="D579" s="2"/>
    </row>
    <row r="580" spans="3:4" ht="15.75" customHeight="1">
      <c r="C580" s="1"/>
      <c r="D580" s="2"/>
    </row>
    <row r="581" spans="3:4" ht="15.75" customHeight="1">
      <c r="C581" s="1"/>
      <c r="D581" s="2"/>
    </row>
    <row r="582" spans="3:4" ht="15.75" customHeight="1">
      <c r="C582" s="1"/>
      <c r="D582" s="2"/>
    </row>
    <row r="583" spans="3:4" ht="15.75" customHeight="1">
      <c r="C583" s="1"/>
      <c r="D583" s="2"/>
    </row>
    <row r="584" spans="3:4" ht="15.75" customHeight="1">
      <c r="C584" s="1"/>
      <c r="D584" s="2"/>
    </row>
    <row r="585" spans="3:4" ht="15.75" customHeight="1">
      <c r="C585" s="1"/>
      <c r="D585" s="2"/>
    </row>
    <row r="586" spans="3:4" ht="15.75" customHeight="1">
      <c r="C586" s="1"/>
      <c r="D586" s="2"/>
    </row>
    <row r="587" spans="3:4" ht="15.75" customHeight="1">
      <c r="C587" s="1"/>
      <c r="D587" s="2"/>
    </row>
    <row r="588" spans="3:4" ht="15.75" customHeight="1">
      <c r="C588" s="1"/>
      <c r="D588" s="2"/>
    </row>
    <row r="589" spans="3:4" ht="15.75" customHeight="1">
      <c r="C589" s="1"/>
      <c r="D589" s="2"/>
    </row>
    <row r="590" spans="3:4" ht="15.75" customHeight="1">
      <c r="C590" s="1"/>
      <c r="D590" s="2"/>
    </row>
    <row r="591" spans="3:4" ht="15.75" customHeight="1">
      <c r="C591" s="1"/>
      <c r="D591" s="2"/>
    </row>
    <row r="592" spans="3:4" ht="15.75" customHeight="1">
      <c r="C592" s="1"/>
      <c r="D592" s="2"/>
    </row>
    <row r="593" spans="3:4" ht="15.75" customHeight="1">
      <c r="C593" s="1"/>
      <c r="D593" s="2"/>
    </row>
    <row r="594" spans="3:4" ht="15.75" customHeight="1">
      <c r="C594" s="1"/>
      <c r="D594" s="2"/>
    </row>
    <row r="595" spans="3:4" ht="15.75" customHeight="1">
      <c r="C595" s="1"/>
      <c r="D595" s="2"/>
    </row>
    <row r="596" spans="3:4" ht="15.75" customHeight="1">
      <c r="C596" s="1"/>
      <c r="D596" s="2"/>
    </row>
    <row r="597" spans="3:4" ht="15.75" customHeight="1">
      <c r="C597" s="1"/>
      <c r="D597" s="2"/>
    </row>
    <row r="598" spans="3:4" ht="15.75" customHeight="1">
      <c r="C598" s="1"/>
      <c r="D598" s="2"/>
    </row>
    <row r="599" spans="3:4" ht="15.75" customHeight="1">
      <c r="C599" s="1"/>
      <c r="D599" s="2"/>
    </row>
    <row r="600" spans="3:4" ht="15.75" customHeight="1">
      <c r="C600" s="1"/>
      <c r="D600" s="2"/>
    </row>
    <row r="601" spans="3:4" ht="15.75" customHeight="1">
      <c r="C601" s="1"/>
      <c r="D601" s="2"/>
    </row>
    <row r="602" spans="3:4" ht="15.75" customHeight="1">
      <c r="C602" s="1"/>
      <c r="D602" s="2"/>
    </row>
    <row r="603" spans="3:4" ht="15.75" customHeight="1">
      <c r="C603" s="1"/>
      <c r="D603" s="2"/>
    </row>
    <row r="604" spans="3:4" ht="15.75" customHeight="1">
      <c r="C604" s="1"/>
      <c r="D604" s="2"/>
    </row>
    <row r="605" spans="3:4" ht="15.75" customHeight="1">
      <c r="C605" s="1"/>
      <c r="D605" s="2"/>
    </row>
    <row r="606" spans="3:4" ht="15.75" customHeight="1">
      <c r="C606" s="1"/>
      <c r="D606" s="2"/>
    </row>
    <row r="607" spans="3:4" ht="15.75" customHeight="1">
      <c r="C607" s="1"/>
      <c r="D607" s="2"/>
    </row>
    <row r="608" spans="3:4" ht="15.75" customHeight="1">
      <c r="C608" s="1"/>
      <c r="D608" s="2"/>
    </row>
    <row r="609" spans="3:4" ht="15.75" customHeight="1">
      <c r="C609" s="1"/>
      <c r="D609" s="2"/>
    </row>
    <row r="610" spans="3:4" ht="15.75" customHeight="1">
      <c r="C610" s="1"/>
      <c r="D610" s="2"/>
    </row>
    <row r="611" spans="3:4" ht="15.75" customHeight="1">
      <c r="C611" s="1"/>
      <c r="D611" s="2"/>
    </row>
    <row r="612" spans="3:4" ht="15.75" customHeight="1">
      <c r="C612" s="1"/>
      <c r="D612" s="2"/>
    </row>
    <row r="613" spans="3:4" ht="15.75" customHeight="1">
      <c r="C613" s="1"/>
      <c r="D613" s="2"/>
    </row>
    <row r="614" spans="3:4" ht="15.75" customHeight="1">
      <c r="C614" s="1"/>
      <c r="D614" s="2"/>
    </row>
    <row r="615" spans="3:4" ht="15.75" customHeight="1">
      <c r="C615" s="1"/>
      <c r="D615" s="2"/>
    </row>
    <row r="616" spans="3:4" ht="15.75" customHeight="1">
      <c r="C616" s="1"/>
      <c r="D616" s="2"/>
    </row>
    <row r="617" spans="3:4" ht="15.75" customHeight="1">
      <c r="C617" s="1"/>
      <c r="D617" s="2"/>
    </row>
    <row r="618" spans="3:4" ht="15.75" customHeight="1">
      <c r="C618" s="1"/>
      <c r="D618" s="2"/>
    </row>
    <row r="619" spans="3:4" ht="15.75" customHeight="1">
      <c r="C619" s="1"/>
      <c r="D619" s="2"/>
    </row>
    <row r="620" spans="3:4" ht="15.75" customHeight="1">
      <c r="C620" s="1"/>
      <c r="D620" s="2"/>
    </row>
    <row r="621" spans="3:4" ht="15.75" customHeight="1">
      <c r="C621" s="1"/>
      <c r="D621" s="2"/>
    </row>
    <row r="622" spans="3:4" ht="15.75" customHeight="1">
      <c r="C622" s="1"/>
      <c r="D622" s="2"/>
    </row>
    <row r="623" spans="3:4" ht="15.75" customHeight="1">
      <c r="C623" s="1"/>
      <c r="D623" s="2"/>
    </row>
    <row r="624" spans="3:4" ht="15.75" customHeight="1">
      <c r="C624" s="1"/>
      <c r="D624" s="2"/>
    </row>
    <row r="625" spans="3:4" ht="15.75" customHeight="1">
      <c r="C625" s="1"/>
      <c r="D625" s="2"/>
    </row>
    <row r="626" spans="3:4" ht="15.75" customHeight="1">
      <c r="C626" s="1"/>
      <c r="D626" s="2"/>
    </row>
    <row r="627" spans="3:4" ht="15.75" customHeight="1">
      <c r="C627" s="1"/>
      <c r="D627" s="2"/>
    </row>
    <row r="628" spans="3:4" ht="15.75" customHeight="1">
      <c r="C628" s="1"/>
      <c r="D628" s="2"/>
    </row>
    <row r="629" spans="3:4" ht="15.75" customHeight="1">
      <c r="C629" s="1"/>
      <c r="D629" s="2"/>
    </row>
    <row r="630" spans="3:4" ht="15.75" customHeight="1">
      <c r="C630" s="1"/>
      <c r="D630" s="2"/>
    </row>
    <row r="631" spans="3:4" ht="15.75" customHeight="1">
      <c r="C631" s="1"/>
      <c r="D631" s="2"/>
    </row>
    <row r="632" spans="3:4" ht="15.75" customHeight="1">
      <c r="C632" s="1"/>
      <c r="D632" s="2"/>
    </row>
    <row r="633" spans="3:4" ht="15.75" customHeight="1">
      <c r="C633" s="1"/>
      <c r="D633" s="2"/>
    </row>
    <row r="634" spans="3:4" ht="15.75" customHeight="1">
      <c r="C634" s="1"/>
      <c r="D634" s="2"/>
    </row>
    <row r="635" spans="3:4" ht="15.75" customHeight="1">
      <c r="C635" s="1"/>
      <c r="D635" s="2"/>
    </row>
    <row r="636" spans="3:4" ht="15.75" customHeight="1">
      <c r="C636" s="1"/>
      <c r="D636" s="2"/>
    </row>
    <row r="637" spans="3:4" ht="15.75" customHeight="1">
      <c r="C637" s="1"/>
      <c r="D637" s="2"/>
    </row>
    <row r="638" spans="3:4" ht="15.75" customHeight="1">
      <c r="C638" s="1"/>
      <c r="D638" s="2"/>
    </row>
    <row r="639" spans="3:4" ht="15.75" customHeight="1">
      <c r="C639" s="1"/>
      <c r="D639" s="2"/>
    </row>
    <row r="640" spans="3:4" ht="15.75" customHeight="1">
      <c r="C640" s="1"/>
      <c r="D640" s="2"/>
    </row>
    <row r="641" spans="3:4" ht="15.75" customHeight="1">
      <c r="C641" s="1"/>
      <c r="D641" s="2"/>
    </row>
    <row r="642" spans="3:4" ht="15.75" customHeight="1">
      <c r="C642" s="1"/>
      <c r="D642" s="2"/>
    </row>
    <row r="643" spans="3:4" ht="15.75" customHeight="1">
      <c r="C643" s="1"/>
      <c r="D643" s="2"/>
    </row>
    <row r="644" spans="3:4" ht="15.75" customHeight="1">
      <c r="C644" s="1"/>
      <c r="D644" s="2"/>
    </row>
    <row r="645" spans="3:4" ht="15.75" customHeight="1">
      <c r="C645" s="1"/>
      <c r="D645" s="2"/>
    </row>
    <row r="646" spans="3:4" ht="15.75" customHeight="1">
      <c r="C646" s="1"/>
      <c r="D646" s="2"/>
    </row>
    <row r="647" spans="3:4" ht="15.75" customHeight="1">
      <c r="C647" s="1"/>
      <c r="D647" s="2"/>
    </row>
    <row r="648" spans="3:4" ht="15.75" customHeight="1">
      <c r="C648" s="1"/>
      <c r="D648" s="2"/>
    </row>
    <row r="649" spans="3:4" ht="15.75" customHeight="1">
      <c r="C649" s="1"/>
      <c r="D649" s="2"/>
    </row>
    <row r="650" spans="3:4" ht="15.75" customHeight="1">
      <c r="C650" s="1"/>
      <c r="D650" s="2"/>
    </row>
    <row r="651" spans="3:4" ht="15.75" customHeight="1">
      <c r="C651" s="1"/>
      <c r="D651" s="2"/>
    </row>
    <row r="652" spans="3:4" ht="15.75" customHeight="1">
      <c r="C652" s="1"/>
      <c r="D652" s="2"/>
    </row>
    <row r="653" spans="3:4" ht="15.75" customHeight="1">
      <c r="C653" s="1"/>
      <c r="D653" s="2"/>
    </row>
    <row r="654" spans="3:4" ht="15.75" customHeight="1">
      <c r="C654" s="1"/>
      <c r="D654" s="2"/>
    </row>
    <row r="655" spans="3:4" ht="15.75" customHeight="1">
      <c r="C655" s="1"/>
      <c r="D655" s="2"/>
    </row>
    <row r="656" spans="3:4" ht="15.75" customHeight="1">
      <c r="C656" s="1"/>
      <c r="D656" s="2"/>
    </row>
    <row r="657" spans="3:4" ht="15.75" customHeight="1">
      <c r="C657" s="1"/>
      <c r="D657" s="2"/>
    </row>
    <row r="658" spans="3:4" ht="15.75" customHeight="1">
      <c r="C658" s="1"/>
      <c r="D658" s="2"/>
    </row>
    <row r="659" spans="3:4" ht="15.75" customHeight="1">
      <c r="C659" s="1"/>
      <c r="D659" s="2"/>
    </row>
    <row r="660" spans="3:4" ht="15.75" customHeight="1">
      <c r="C660" s="1"/>
      <c r="D660" s="2"/>
    </row>
    <row r="661" spans="3:4" ht="15.75" customHeight="1">
      <c r="C661" s="1"/>
      <c r="D661" s="2"/>
    </row>
    <row r="662" spans="3:4" ht="15.75" customHeight="1">
      <c r="C662" s="1"/>
      <c r="D662" s="2"/>
    </row>
    <row r="663" spans="3:4" ht="15.75" customHeight="1">
      <c r="C663" s="1"/>
      <c r="D663" s="2"/>
    </row>
    <row r="664" spans="3:4" ht="15.75" customHeight="1">
      <c r="C664" s="1"/>
      <c r="D664" s="2"/>
    </row>
    <row r="665" spans="3:4" ht="15.75" customHeight="1">
      <c r="C665" s="1"/>
      <c r="D665" s="2"/>
    </row>
    <row r="666" spans="3:4" ht="15.75" customHeight="1">
      <c r="C666" s="1"/>
      <c r="D666" s="2"/>
    </row>
    <row r="667" spans="3:4" ht="15.75" customHeight="1">
      <c r="C667" s="1"/>
      <c r="D667" s="2"/>
    </row>
    <row r="668" spans="3:4" ht="15.75" customHeight="1">
      <c r="C668" s="1"/>
      <c r="D668" s="2"/>
    </row>
    <row r="669" spans="3:4" ht="15.75" customHeight="1">
      <c r="C669" s="1"/>
      <c r="D669" s="2"/>
    </row>
    <row r="670" spans="3:4" ht="15.75" customHeight="1">
      <c r="C670" s="1"/>
      <c r="D670" s="2"/>
    </row>
    <row r="671" spans="3:4" ht="15.75" customHeight="1">
      <c r="C671" s="1"/>
      <c r="D671" s="2"/>
    </row>
    <row r="672" spans="3:4" ht="15.75" customHeight="1">
      <c r="C672" s="1"/>
      <c r="D672" s="2"/>
    </row>
    <row r="673" spans="3:4" ht="15.75" customHeight="1">
      <c r="C673" s="1"/>
      <c r="D673" s="2"/>
    </row>
    <row r="674" spans="3:4" ht="15.75" customHeight="1">
      <c r="C674" s="1"/>
      <c r="D674" s="2"/>
    </row>
    <row r="675" spans="3:4" ht="15.75" customHeight="1">
      <c r="C675" s="1"/>
      <c r="D675" s="2"/>
    </row>
    <row r="676" spans="3:4" ht="15.75" customHeight="1">
      <c r="C676" s="1"/>
      <c r="D676" s="2"/>
    </row>
    <row r="677" spans="3:4" ht="15.75" customHeight="1">
      <c r="C677" s="1"/>
      <c r="D677" s="2"/>
    </row>
    <row r="678" spans="3:4" ht="15.75" customHeight="1">
      <c r="C678" s="1"/>
      <c r="D678" s="2"/>
    </row>
    <row r="679" spans="3:4" ht="15.75" customHeight="1">
      <c r="C679" s="1"/>
      <c r="D679" s="2"/>
    </row>
    <row r="680" spans="3:4" ht="15.75" customHeight="1">
      <c r="C680" s="1"/>
      <c r="D680" s="2"/>
    </row>
    <row r="681" spans="3:4" ht="15.75" customHeight="1">
      <c r="C681" s="1"/>
      <c r="D681" s="2"/>
    </row>
    <row r="682" spans="3:4" ht="15.75" customHeight="1">
      <c r="C682" s="1"/>
      <c r="D682" s="2"/>
    </row>
    <row r="683" spans="3:4" ht="15.75" customHeight="1">
      <c r="C683" s="1"/>
      <c r="D683" s="2"/>
    </row>
    <row r="684" spans="3:4" ht="15.75" customHeight="1">
      <c r="C684" s="1"/>
      <c r="D684" s="2"/>
    </row>
    <row r="685" spans="3:4" ht="15.75" customHeight="1">
      <c r="C685" s="1"/>
      <c r="D685" s="2"/>
    </row>
    <row r="686" spans="3:4" ht="15.75" customHeight="1">
      <c r="C686" s="1"/>
      <c r="D686" s="2"/>
    </row>
    <row r="687" spans="3:4" ht="15.75" customHeight="1">
      <c r="C687" s="1"/>
      <c r="D687" s="2"/>
    </row>
    <row r="688" spans="3:4" ht="15.75" customHeight="1">
      <c r="C688" s="1"/>
      <c r="D688" s="2"/>
    </row>
    <row r="689" spans="3:4" ht="15.75" customHeight="1">
      <c r="C689" s="1"/>
      <c r="D689" s="2"/>
    </row>
    <row r="690" spans="3:4" ht="15.75" customHeight="1">
      <c r="C690" s="1"/>
      <c r="D690" s="2"/>
    </row>
    <row r="691" spans="3:4" ht="15.75" customHeight="1">
      <c r="C691" s="1"/>
      <c r="D691" s="2"/>
    </row>
    <row r="692" spans="3:4" ht="15.75" customHeight="1">
      <c r="C692" s="1"/>
      <c r="D692" s="2"/>
    </row>
    <row r="693" spans="3:4" ht="15.75" customHeight="1">
      <c r="C693" s="1"/>
      <c r="D693" s="2"/>
    </row>
    <row r="694" spans="3:4" ht="15.75" customHeight="1">
      <c r="C694" s="1"/>
      <c r="D694" s="2"/>
    </row>
    <row r="695" spans="3:4" ht="15.75" customHeight="1">
      <c r="C695" s="1"/>
      <c r="D695" s="2"/>
    </row>
    <row r="696" spans="3:4" ht="15.75" customHeight="1">
      <c r="C696" s="1"/>
      <c r="D696" s="2"/>
    </row>
    <row r="697" spans="3:4" ht="15.75" customHeight="1">
      <c r="C697" s="1"/>
      <c r="D697" s="2"/>
    </row>
    <row r="698" spans="3:4" ht="15.75" customHeight="1">
      <c r="C698" s="1"/>
      <c r="D698" s="2"/>
    </row>
    <row r="699" spans="3:4" ht="15.75" customHeight="1">
      <c r="C699" s="1"/>
      <c r="D699" s="2"/>
    </row>
    <row r="700" spans="3:4" ht="15.75" customHeight="1">
      <c r="C700" s="1"/>
      <c r="D700" s="2"/>
    </row>
    <row r="701" spans="3:4" ht="15.75" customHeight="1">
      <c r="C701" s="1"/>
      <c r="D701" s="2"/>
    </row>
    <row r="702" spans="3:4" ht="15.75" customHeight="1">
      <c r="C702" s="1"/>
      <c r="D702" s="2"/>
    </row>
    <row r="703" spans="3:4" ht="15.75" customHeight="1">
      <c r="C703" s="1"/>
      <c r="D703" s="2"/>
    </row>
    <row r="704" spans="3:4" ht="15.75" customHeight="1">
      <c r="C704" s="1"/>
      <c r="D704" s="2"/>
    </row>
    <row r="705" spans="3:4" ht="15.75" customHeight="1">
      <c r="C705" s="1"/>
      <c r="D705" s="2"/>
    </row>
    <row r="706" spans="3:4" ht="15.75" customHeight="1">
      <c r="C706" s="1"/>
      <c r="D706" s="2"/>
    </row>
    <row r="707" spans="3:4" ht="15.75" customHeight="1">
      <c r="C707" s="1"/>
      <c r="D707" s="2"/>
    </row>
    <row r="708" spans="3:4" ht="15.75" customHeight="1">
      <c r="C708" s="1"/>
      <c r="D708" s="2"/>
    </row>
    <row r="709" spans="3:4" ht="15.75" customHeight="1">
      <c r="C709" s="1"/>
      <c r="D709" s="2"/>
    </row>
    <row r="710" spans="3:4" ht="15.75" customHeight="1">
      <c r="C710" s="1"/>
      <c r="D710" s="2"/>
    </row>
    <row r="711" spans="3:4" ht="15.75" customHeight="1">
      <c r="C711" s="1"/>
      <c r="D711" s="2"/>
    </row>
    <row r="712" spans="3:4" ht="15.75" customHeight="1">
      <c r="C712" s="1"/>
      <c r="D712" s="2"/>
    </row>
    <row r="713" spans="3:4" ht="15.75" customHeight="1">
      <c r="C713" s="1"/>
      <c r="D713" s="2"/>
    </row>
    <row r="714" spans="3:4" ht="15.75" customHeight="1">
      <c r="C714" s="1"/>
      <c r="D714" s="2"/>
    </row>
    <row r="715" spans="3:4" ht="15.75" customHeight="1">
      <c r="C715" s="1"/>
      <c r="D715" s="2"/>
    </row>
    <row r="716" spans="3:4" ht="15.75" customHeight="1">
      <c r="C716" s="1"/>
      <c r="D716" s="2"/>
    </row>
    <row r="717" spans="3:4" ht="15.75" customHeight="1">
      <c r="C717" s="1"/>
      <c r="D717" s="2"/>
    </row>
    <row r="718" spans="3:4" ht="15.75" customHeight="1">
      <c r="C718" s="1"/>
      <c r="D718" s="2"/>
    </row>
    <row r="719" spans="3:4" ht="15.75" customHeight="1">
      <c r="C719" s="1"/>
      <c r="D719" s="2"/>
    </row>
    <row r="720" spans="3:4" ht="15.75" customHeight="1">
      <c r="C720" s="1"/>
      <c r="D720" s="2"/>
    </row>
    <row r="721" spans="3:4" ht="15.75" customHeight="1">
      <c r="C721" s="1"/>
      <c r="D721" s="2"/>
    </row>
    <row r="722" spans="3:4" ht="15.75" customHeight="1">
      <c r="C722" s="1"/>
      <c r="D722" s="2"/>
    </row>
    <row r="723" spans="3:4" ht="15.75" customHeight="1">
      <c r="C723" s="1"/>
      <c r="D723" s="2"/>
    </row>
    <row r="724" spans="3:4" ht="15.75" customHeight="1">
      <c r="C724" s="1"/>
      <c r="D724" s="2"/>
    </row>
    <row r="725" spans="3:4" ht="15.75" customHeight="1">
      <c r="C725" s="1"/>
      <c r="D725" s="2"/>
    </row>
    <row r="726" spans="3:4" ht="15.75" customHeight="1">
      <c r="C726" s="1"/>
      <c r="D726" s="2"/>
    </row>
    <row r="727" spans="3:4" ht="15.75" customHeight="1">
      <c r="C727" s="1"/>
      <c r="D727" s="2"/>
    </row>
    <row r="728" spans="3:4" ht="15.75" customHeight="1">
      <c r="C728" s="1"/>
      <c r="D728" s="2"/>
    </row>
    <row r="729" spans="3:4" ht="15.75" customHeight="1">
      <c r="C729" s="1"/>
      <c r="D729" s="2"/>
    </row>
    <row r="730" spans="3:4" ht="15.75" customHeight="1">
      <c r="C730" s="1"/>
      <c r="D730" s="2"/>
    </row>
    <row r="731" spans="3:4" ht="15.75" customHeight="1">
      <c r="C731" s="1"/>
      <c r="D731" s="2"/>
    </row>
    <row r="732" spans="3:4" ht="15.75" customHeight="1">
      <c r="C732" s="1"/>
      <c r="D732" s="2"/>
    </row>
    <row r="733" spans="3:4" ht="15.75" customHeight="1">
      <c r="C733" s="1"/>
      <c r="D733" s="2"/>
    </row>
    <row r="734" spans="3:4" ht="15.75" customHeight="1">
      <c r="C734" s="1"/>
      <c r="D734" s="2"/>
    </row>
    <row r="735" spans="3:4" ht="15.75" customHeight="1">
      <c r="C735" s="1"/>
      <c r="D735" s="2"/>
    </row>
    <row r="736" spans="3:4" ht="15.75" customHeight="1">
      <c r="C736" s="1"/>
      <c r="D736" s="2"/>
    </row>
    <row r="737" spans="3:4" ht="15.75" customHeight="1">
      <c r="C737" s="1"/>
      <c r="D737" s="2"/>
    </row>
    <row r="738" spans="3:4" ht="15.75" customHeight="1">
      <c r="C738" s="1"/>
      <c r="D738" s="2"/>
    </row>
    <row r="739" spans="3:4" ht="15.75" customHeight="1">
      <c r="C739" s="1"/>
      <c r="D739" s="2"/>
    </row>
    <row r="740" spans="3:4" ht="15.75" customHeight="1">
      <c r="C740" s="1"/>
      <c r="D740" s="2"/>
    </row>
    <row r="741" spans="3:4" ht="15.75" customHeight="1">
      <c r="C741" s="1"/>
      <c r="D741" s="2"/>
    </row>
    <row r="742" spans="3:4" ht="15.75" customHeight="1">
      <c r="C742" s="1"/>
      <c r="D742" s="2"/>
    </row>
    <row r="743" spans="3:4" ht="15.75" customHeight="1">
      <c r="C743" s="1"/>
      <c r="D743" s="2"/>
    </row>
    <row r="744" spans="3:4" ht="15.75" customHeight="1">
      <c r="C744" s="1"/>
      <c r="D744" s="2"/>
    </row>
    <row r="745" spans="3:4" ht="15.75" customHeight="1">
      <c r="C745" s="1"/>
      <c r="D745" s="2"/>
    </row>
    <row r="746" spans="3:4" ht="15.75" customHeight="1">
      <c r="C746" s="1"/>
      <c r="D746" s="2"/>
    </row>
    <row r="747" spans="3:4" ht="15.75" customHeight="1">
      <c r="C747" s="1"/>
      <c r="D747" s="2"/>
    </row>
    <row r="748" spans="3:4" ht="15.75" customHeight="1">
      <c r="C748" s="1"/>
      <c r="D748" s="2"/>
    </row>
    <row r="749" spans="3:4" ht="15.75" customHeight="1">
      <c r="C749" s="1"/>
      <c r="D749" s="2"/>
    </row>
    <row r="750" spans="3:4" ht="15.75" customHeight="1">
      <c r="C750" s="1"/>
      <c r="D750" s="2"/>
    </row>
    <row r="751" spans="3:4" ht="15.75" customHeight="1">
      <c r="C751" s="1"/>
      <c r="D751" s="2"/>
    </row>
    <row r="752" spans="3:4" ht="15.75" customHeight="1">
      <c r="C752" s="1"/>
      <c r="D752" s="2"/>
    </row>
    <row r="753" spans="3:4" ht="15.75" customHeight="1">
      <c r="C753" s="1"/>
      <c r="D753" s="2"/>
    </row>
    <row r="754" spans="3:4" ht="15.75" customHeight="1">
      <c r="C754" s="1"/>
      <c r="D754" s="2"/>
    </row>
    <row r="755" spans="3:4" ht="15.75" customHeight="1">
      <c r="C755" s="1"/>
      <c r="D755" s="2"/>
    </row>
    <row r="756" spans="3:4" ht="15.75" customHeight="1">
      <c r="C756" s="1"/>
      <c r="D756" s="2"/>
    </row>
    <row r="757" spans="3:4" ht="15.75" customHeight="1">
      <c r="C757" s="1"/>
      <c r="D757" s="2"/>
    </row>
    <row r="758" spans="3:4" ht="15.75" customHeight="1">
      <c r="C758" s="1"/>
      <c r="D758" s="2"/>
    </row>
    <row r="759" spans="3:4" ht="15.75" customHeight="1">
      <c r="C759" s="1"/>
      <c r="D759" s="2"/>
    </row>
    <row r="760" spans="3:4" ht="15.75" customHeight="1">
      <c r="C760" s="1"/>
      <c r="D760" s="2"/>
    </row>
    <row r="761" spans="3:4" ht="15.75" customHeight="1">
      <c r="C761" s="1"/>
      <c r="D761" s="2"/>
    </row>
    <row r="762" spans="3:4" ht="15.75" customHeight="1">
      <c r="C762" s="1"/>
      <c r="D762" s="2"/>
    </row>
    <row r="763" spans="3:4" ht="15.75" customHeight="1">
      <c r="C763" s="1"/>
      <c r="D763" s="2"/>
    </row>
    <row r="764" spans="3:4" ht="15.75" customHeight="1">
      <c r="C764" s="1"/>
      <c r="D764" s="2"/>
    </row>
    <row r="765" spans="3:4" ht="15.75" customHeight="1">
      <c r="C765" s="1"/>
      <c r="D765" s="2"/>
    </row>
    <row r="766" spans="3:4" ht="15.75" customHeight="1">
      <c r="C766" s="1"/>
      <c r="D766" s="2"/>
    </row>
    <row r="767" spans="3:4" ht="15.75" customHeight="1">
      <c r="C767" s="1"/>
      <c r="D767" s="2"/>
    </row>
    <row r="768" spans="3:4" ht="15.75" customHeight="1">
      <c r="C768" s="1"/>
      <c r="D768" s="2"/>
    </row>
    <row r="769" spans="3:4" ht="15.75" customHeight="1">
      <c r="C769" s="1"/>
      <c r="D769" s="2"/>
    </row>
    <row r="770" spans="3:4" ht="15.75" customHeight="1">
      <c r="C770" s="1"/>
      <c r="D770" s="2"/>
    </row>
    <row r="771" spans="3:4" ht="15.75" customHeight="1">
      <c r="C771" s="1"/>
      <c r="D771" s="2"/>
    </row>
    <row r="772" spans="3:4" ht="15.75" customHeight="1">
      <c r="C772" s="1"/>
      <c r="D772" s="2"/>
    </row>
    <row r="773" spans="3:4" ht="15.75" customHeight="1">
      <c r="C773" s="1"/>
      <c r="D773" s="2"/>
    </row>
    <row r="774" spans="3:4" ht="15.75" customHeight="1">
      <c r="C774" s="1"/>
      <c r="D774" s="2"/>
    </row>
    <row r="775" spans="3:4" ht="15.75" customHeight="1">
      <c r="C775" s="1"/>
      <c r="D775" s="2"/>
    </row>
    <row r="776" spans="3:4" ht="15.75" customHeight="1">
      <c r="C776" s="1"/>
      <c r="D776" s="2"/>
    </row>
    <row r="777" spans="3:4" ht="15.75" customHeight="1">
      <c r="C777" s="1"/>
      <c r="D777" s="2"/>
    </row>
    <row r="778" spans="3:4" ht="15.75" customHeight="1">
      <c r="C778" s="1"/>
      <c r="D778" s="2"/>
    </row>
    <row r="779" spans="3:4" ht="15.75" customHeight="1">
      <c r="C779" s="1"/>
      <c r="D779" s="2"/>
    </row>
    <row r="780" spans="3:4" ht="15.75" customHeight="1">
      <c r="C780" s="1"/>
      <c r="D780" s="2"/>
    </row>
    <row r="781" spans="3:4" ht="15.75" customHeight="1">
      <c r="C781" s="1"/>
      <c r="D781" s="2"/>
    </row>
    <row r="782" spans="3:4" ht="15.75" customHeight="1">
      <c r="C782" s="1"/>
      <c r="D782" s="2"/>
    </row>
    <row r="783" spans="3:4" ht="15.75" customHeight="1">
      <c r="C783" s="1"/>
      <c r="D783" s="2"/>
    </row>
    <row r="784" spans="3:4" ht="15.75" customHeight="1">
      <c r="C784" s="1"/>
      <c r="D784" s="2"/>
    </row>
    <row r="785" spans="3:4" ht="15.75" customHeight="1">
      <c r="C785" s="1"/>
      <c r="D785" s="2"/>
    </row>
    <row r="786" spans="3:4" ht="15.75" customHeight="1">
      <c r="C786" s="1"/>
      <c r="D786" s="2"/>
    </row>
    <row r="787" spans="3:4" ht="15.75" customHeight="1">
      <c r="C787" s="1"/>
      <c r="D787" s="2"/>
    </row>
    <row r="788" spans="3:4" ht="15.75" customHeight="1">
      <c r="C788" s="1"/>
      <c r="D788" s="2"/>
    </row>
    <row r="789" spans="3:4" ht="15.75" customHeight="1">
      <c r="C789" s="1"/>
      <c r="D789" s="2"/>
    </row>
    <row r="790" spans="3:4" ht="15.75" customHeight="1">
      <c r="C790" s="1"/>
      <c r="D790" s="2"/>
    </row>
    <row r="791" spans="3:4" ht="15.75" customHeight="1">
      <c r="C791" s="1"/>
      <c r="D791" s="2"/>
    </row>
    <row r="792" spans="3:4" ht="15.75" customHeight="1">
      <c r="C792" s="1"/>
      <c r="D792" s="2"/>
    </row>
    <row r="793" spans="3:4" ht="15.75" customHeight="1">
      <c r="C793" s="1"/>
      <c r="D793" s="2"/>
    </row>
    <row r="794" spans="3:4" ht="15.75" customHeight="1">
      <c r="C794" s="1"/>
      <c r="D794" s="2"/>
    </row>
    <row r="795" spans="3:4" ht="15.75" customHeight="1">
      <c r="C795" s="1"/>
      <c r="D795" s="2"/>
    </row>
    <row r="796" spans="3:4" ht="15.75" customHeight="1">
      <c r="C796" s="1"/>
      <c r="D796" s="2"/>
    </row>
    <row r="797" spans="3:4" ht="15.75" customHeight="1">
      <c r="C797" s="1"/>
      <c r="D797" s="2"/>
    </row>
    <row r="798" spans="3:4" ht="15.75" customHeight="1">
      <c r="C798" s="1"/>
      <c r="D798" s="2"/>
    </row>
    <row r="799" spans="3:4" ht="15.75" customHeight="1">
      <c r="C799" s="1"/>
      <c r="D799" s="2"/>
    </row>
    <row r="800" spans="3:4" ht="15.75" customHeight="1">
      <c r="C800" s="1"/>
      <c r="D800" s="2"/>
    </row>
    <row r="801" spans="3:4" ht="15.75" customHeight="1">
      <c r="C801" s="1"/>
      <c r="D801" s="2"/>
    </row>
    <row r="802" spans="3:4" ht="15.75" customHeight="1">
      <c r="C802" s="1"/>
      <c r="D802" s="2"/>
    </row>
    <row r="803" spans="3:4" ht="15.75" customHeight="1">
      <c r="C803" s="1"/>
      <c r="D803" s="2"/>
    </row>
    <row r="804" spans="3:4" ht="15.75" customHeight="1">
      <c r="C804" s="1"/>
      <c r="D804" s="2"/>
    </row>
    <row r="805" spans="3:4" ht="15.75" customHeight="1">
      <c r="C805" s="1"/>
      <c r="D805" s="2"/>
    </row>
    <row r="806" spans="3:4" ht="15.75" customHeight="1">
      <c r="C806" s="1"/>
      <c r="D806" s="2"/>
    </row>
    <row r="807" spans="3:4" ht="15.75" customHeight="1">
      <c r="C807" s="1"/>
      <c r="D807" s="2"/>
    </row>
    <row r="808" spans="3:4" ht="15.75" customHeight="1">
      <c r="C808" s="1"/>
      <c r="D808" s="2"/>
    </row>
    <row r="809" spans="3:4" ht="15.75" customHeight="1">
      <c r="C809" s="1"/>
      <c r="D809" s="2"/>
    </row>
    <row r="810" spans="3:4" ht="15.75" customHeight="1">
      <c r="C810" s="1"/>
      <c r="D810" s="2"/>
    </row>
    <row r="811" spans="3:4" ht="15.75" customHeight="1">
      <c r="C811" s="1"/>
      <c r="D811" s="2"/>
    </row>
    <row r="812" spans="3:4" ht="15.75" customHeight="1">
      <c r="C812" s="1"/>
      <c r="D812" s="2"/>
    </row>
    <row r="813" spans="3:4" ht="15.75" customHeight="1">
      <c r="C813" s="1"/>
      <c r="D813" s="2"/>
    </row>
    <row r="814" spans="3:4" ht="15.75" customHeight="1">
      <c r="C814" s="1"/>
      <c r="D814" s="2"/>
    </row>
    <row r="815" spans="3:4" ht="15.75" customHeight="1">
      <c r="C815" s="1"/>
      <c r="D815" s="2"/>
    </row>
    <row r="816" spans="3:4" ht="15.75" customHeight="1">
      <c r="C816" s="1"/>
      <c r="D816" s="2"/>
    </row>
    <row r="817" spans="3:4" ht="15.75" customHeight="1">
      <c r="C817" s="1"/>
      <c r="D817" s="2"/>
    </row>
    <row r="818" spans="3:4" ht="15.75" customHeight="1">
      <c r="C818" s="1"/>
      <c r="D818" s="2"/>
    </row>
    <row r="819" spans="3:4" ht="15.75" customHeight="1">
      <c r="C819" s="1"/>
      <c r="D819" s="2"/>
    </row>
    <row r="820" spans="3:4" ht="15.75" customHeight="1">
      <c r="C820" s="1"/>
      <c r="D820" s="2"/>
    </row>
    <row r="821" spans="3:4" ht="15.75" customHeight="1">
      <c r="C821" s="1"/>
      <c r="D821" s="2"/>
    </row>
    <row r="822" spans="3:4" ht="15.75" customHeight="1">
      <c r="C822" s="1"/>
      <c r="D822" s="2"/>
    </row>
    <row r="823" spans="3:4" ht="15.75" customHeight="1">
      <c r="C823" s="1"/>
      <c r="D823" s="2"/>
    </row>
    <row r="824" spans="3:4" ht="15.75" customHeight="1">
      <c r="C824" s="1"/>
      <c r="D824" s="2"/>
    </row>
    <row r="825" spans="3:4" ht="15.75" customHeight="1">
      <c r="C825" s="1"/>
      <c r="D825" s="2"/>
    </row>
    <row r="826" spans="3:4" ht="15.75" customHeight="1">
      <c r="C826" s="1"/>
      <c r="D826" s="2"/>
    </row>
    <row r="827" spans="3:4" ht="15.75" customHeight="1">
      <c r="C827" s="1"/>
      <c r="D827" s="2"/>
    </row>
    <row r="828" spans="3:4" ht="15.75" customHeight="1">
      <c r="C828" s="1"/>
      <c r="D828" s="2"/>
    </row>
    <row r="829" spans="3:4" ht="15.75" customHeight="1">
      <c r="C829" s="1"/>
      <c r="D829" s="2"/>
    </row>
    <row r="830" spans="3:4" ht="15.75" customHeight="1">
      <c r="C830" s="1"/>
      <c r="D830" s="2"/>
    </row>
    <row r="831" spans="3:4" ht="15.75" customHeight="1">
      <c r="C831" s="1"/>
      <c r="D831" s="2"/>
    </row>
    <row r="832" spans="3:4" ht="15.75" customHeight="1">
      <c r="C832" s="1"/>
      <c r="D832" s="2"/>
    </row>
    <row r="833" spans="3:4" ht="15.75" customHeight="1">
      <c r="C833" s="1"/>
      <c r="D833" s="2"/>
    </row>
    <row r="834" spans="3:4" ht="15.75" customHeight="1">
      <c r="C834" s="1"/>
      <c r="D834" s="2"/>
    </row>
    <row r="835" spans="3:4" ht="15.75" customHeight="1">
      <c r="C835" s="1"/>
      <c r="D835" s="2"/>
    </row>
    <row r="836" spans="3:4" ht="15.75" customHeight="1">
      <c r="C836" s="1"/>
      <c r="D836" s="2"/>
    </row>
    <row r="837" spans="3:4" ht="15.75" customHeight="1">
      <c r="C837" s="1"/>
      <c r="D837" s="2"/>
    </row>
    <row r="838" spans="3:4" ht="15.75" customHeight="1">
      <c r="C838" s="1"/>
      <c r="D838" s="2"/>
    </row>
    <row r="839" spans="3:4" ht="15.75" customHeight="1">
      <c r="C839" s="1"/>
      <c r="D839" s="2"/>
    </row>
    <row r="840" spans="3:4" ht="15.75" customHeight="1">
      <c r="C840" s="1"/>
      <c r="D840" s="2"/>
    </row>
    <row r="841" spans="3:4" ht="15.75" customHeight="1">
      <c r="C841" s="1"/>
      <c r="D841" s="2"/>
    </row>
    <row r="842" spans="3:4" ht="15.75" customHeight="1">
      <c r="C842" s="1"/>
      <c r="D842" s="2"/>
    </row>
    <row r="843" spans="3:4" ht="15.75" customHeight="1">
      <c r="C843" s="1"/>
      <c r="D843" s="2"/>
    </row>
    <row r="844" spans="3:4" ht="15.75" customHeight="1">
      <c r="C844" s="1"/>
      <c r="D844" s="2"/>
    </row>
    <row r="845" spans="3:4" ht="15.75" customHeight="1">
      <c r="C845" s="1"/>
      <c r="D845" s="2"/>
    </row>
    <row r="846" spans="3:4" ht="15.75" customHeight="1">
      <c r="C846" s="1"/>
      <c r="D846" s="2"/>
    </row>
    <row r="847" spans="3:4" ht="15.75" customHeight="1">
      <c r="C847" s="1"/>
      <c r="D847" s="2"/>
    </row>
    <row r="848" spans="3:4" ht="15.75" customHeight="1">
      <c r="C848" s="1"/>
      <c r="D848" s="2"/>
    </row>
    <row r="849" spans="3:4" ht="15.75" customHeight="1">
      <c r="C849" s="1"/>
      <c r="D849" s="2"/>
    </row>
    <row r="850" spans="3:4" ht="15.75" customHeight="1">
      <c r="C850" s="1"/>
      <c r="D850" s="2"/>
    </row>
    <row r="851" spans="3:4" ht="15.75" customHeight="1">
      <c r="C851" s="1"/>
      <c r="D851" s="2"/>
    </row>
    <row r="852" spans="3:4" ht="15.75" customHeight="1">
      <c r="C852" s="1"/>
      <c r="D852" s="2"/>
    </row>
    <row r="853" spans="3:4" ht="15.75" customHeight="1">
      <c r="C853" s="1"/>
      <c r="D853" s="2"/>
    </row>
    <row r="854" spans="3:4" ht="15.75" customHeight="1">
      <c r="C854" s="1"/>
      <c r="D854" s="2"/>
    </row>
    <row r="855" spans="3:4" ht="15.75" customHeight="1">
      <c r="C855" s="1"/>
      <c r="D855" s="2"/>
    </row>
    <row r="856" spans="3:4" ht="15.75" customHeight="1">
      <c r="C856" s="1"/>
      <c r="D856" s="2"/>
    </row>
    <row r="857" spans="3:4" ht="15.75" customHeight="1">
      <c r="C857" s="1"/>
      <c r="D857" s="2"/>
    </row>
    <row r="858" spans="3:4" ht="15.75" customHeight="1">
      <c r="C858" s="1"/>
      <c r="D858" s="2"/>
    </row>
    <row r="859" spans="3:4" ht="15.75" customHeight="1">
      <c r="C859" s="1"/>
      <c r="D859" s="2"/>
    </row>
    <row r="860" spans="3:4" ht="15.75" customHeight="1">
      <c r="C860" s="1"/>
      <c r="D860" s="2"/>
    </row>
    <row r="861" spans="3:4" ht="15.75" customHeight="1">
      <c r="C861" s="1"/>
      <c r="D861" s="2"/>
    </row>
    <row r="862" spans="3:4" ht="15.75" customHeight="1">
      <c r="C862" s="1"/>
      <c r="D862" s="2"/>
    </row>
    <row r="863" spans="3:4" ht="15.75" customHeight="1">
      <c r="C863" s="1"/>
      <c r="D863" s="2"/>
    </row>
    <row r="864" spans="3:4" ht="15.75" customHeight="1">
      <c r="C864" s="1"/>
      <c r="D864" s="2"/>
    </row>
    <row r="865" spans="3:4" ht="15.75" customHeight="1">
      <c r="C865" s="1"/>
      <c r="D865" s="2"/>
    </row>
    <row r="866" spans="3:4" ht="15.75" customHeight="1">
      <c r="C866" s="1"/>
      <c r="D866" s="2"/>
    </row>
    <row r="867" spans="3:4" ht="15.75" customHeight="1">
      <c r="C867" s="1"/>
      <c r="D867" s="2"/>
    </row>
    <row r="868" spans="3:4" ht="15.75" customHeight="1">
      <c r="C868" s="1"/>
      <c r="D868" s="2"/>
    </row>
    <row r="869" spans="3:4" ht="15.75" customHeight="1">
      <c r="C869" s="1"/>
      <c r="D869" s="2"/>
    </row>
    <row r="870" spans="3:4" ht="15.75" customHeight="1">
      <c r="C870" s="1"/>
      <c r="D870" s="2"/>
    </row>
    <row r="871" spans="3:4" ht="15.75" customHeight="1">
      <c r="C871" s="1"/>
      <c r="D871" s="2"/>
    </row>
    <row r="872" spans="3:4" ht="15.75" customHeight="1">
      <c r="C872" s="1"/>
      <c r="D872" s="2"/>
    </row>
    <row r="873" spans="3:4" ht="15.75" customHeight="1">
      <c r="C873" s="1"/>
      <c r="D873" s="2"/>
    </row>
    <row r="874" spans="3:4" ht="15.75" customHeight="1">
      <c r="C874" s="1"/>
      <c r="D874" s="2"/>
    </row>
    <row r="875" spans="3:4" ht="15.75" customHeight="1">
      <c r="C875" s="1"/>
      <c r="D875" s="2"/>
    </row>
    <row r="876" spans="3:4" ht="15.75" customHeight="1">
      <c r="C876" s="1"/>
      <c r="D876" s="2"/>
    </row>
    <row r="877" spans="3:4" ht="15.75" customHeight="1">
      <c r="C877" s="1"/>
      <c r="D877" s="2"/>
    </row>
    <row r="878" spans="3:4" ht="15.75" customHeight="1">
      <c r="C878" s="1"/>
      <c r="D878" s="2"/>
    </row>
    <row r="879" spans="3:4" ht="15.75" customHeight="1">
      <c r="C879" s="1"/>
      <c r="D879" s="2"/>
    </row>
    <row r="880" spans="3:4" ht="15.75" customHeight="1">
      <c r="C880" s="1"/>
      <c r="D880" s="2"/>
    </row>
    <row r="881" spans="3:4" ht="15.75" customHeight="1">
      <c r="C881" s="1"/>
      <c r="D881" s="2"/>
    </row>
    <row r="882" spans="3:4" ht="15.75" customHeight="1">
      <c r="C882" s="1"/>
      <c r="D882" s="2"/>
    </row>
    <row r="883" spans="3:4" ht="15.75" customHeight="1">
      <c r="C883" s="1"/>
      <c r="D883" s="2"/>
    </row>
    <row r="884" spans="3:4" ht="15.75" customHeight="1">
      <c r="C884" s="1"/>
      <c r="D884" s="2"/>
    </row>
    <row r="885" spans="3:4" ht="15.75" customHeight="1">
      <c r="C885" s="1"/>
      <c r="D885" s="2"/>
    </row>
    <row r="886" spans="3:4" ht="15.75" customHeight="1">
      <c r="C886" s="1"/>
      <c r="D886" s="2"/>
    </row>
    <row r="887" spans="3:4" ht="15.75" customHeight="1">
      <c r="C887" s="1"/>
      <c r="D887" s="2"/>
    </row>
    <row r="888" spans="3:4" ht="15.75" customHeight="1">
      <c r="C888" s="1"/>
      <c r="D888" s="2"/>
    </row>
    <row r="889" spans="3:4" ht="15.75" customHeight="1">
      <c r="C889" s="1"/>
      <c r="D889" s="2"/>
    </row>
    <row r="890" spans="3:4" ht="15.75" customHeight="1">
      <c r="C890" s="1"/>
      <c r="D890" s="2"/>
    </row>
    <row r="891" spans="3:4" ht="15.75" customHeight="1">
      <c r="C891" s="1"/>
      <c r="D891" s="2"/>
    </row>
    <row r="892" spans="3:4" ht="15.75" customHeight="1">
      <c r="C892" s="1"/>
      <c r="D892" s="2"/>
    </row>
    <row r="893" spans="3:4" ht="15.75" customHeight="1">
      <c r="C893" s="1"/>
      <c r="D893" s="2"/>
    </row>
    <row r="894" spans="3:4" ht="15.75" customHeight="1">
      <c r="C894" s="1"/>
      <c r="D894" s="2"/>
    </row>
    <row r="895" spans="3:4" ht="15.75" customHeight="1">
      <c r="C895" s="1"/>
      <c r="D895" s="2"/>
    </row>
    <row r="896" spans="3:4" ht="15.75" customHeight="1">
      <c r="C896" s="1"/>
      <c r="D896" s="2"/>
    </row>
    <row r="897" spans="3:4" ht="15.75" customHeight="1">
      <c r="C897" s="1"/>
      <c r="D897" s="2"/>
    </row>
    <row r="898" spans="3:4" ht="15.75" customHeight="1">
      <c r="C898" s="1"/>
      <c r="D898" s="2"/>
    </row>
    <row r="899" spans="3:4" ht="15.75" customHeight="1">
      <c r="C899" s="1"/>
      <c r="D899" s="2"/>
    </row>
    <row r="900" spans="3:4" ht="15.75" customHeight="1">
      <c r="C900" s="1"/>
      <c r="D900" s="2"/>
    </row>
    <row r="901" spans="3:4" ht="15.75" customHeight="1">
      <c r="C901" s="1"/>
      <c r="D901" s="2"/>
    </row>
    <row r="902" spans="3:4" ht="15.75" customHeight="1">
      <c r="C902" s="1"/>
      <c r="D902" s="2"/>
    </row>
    <row r="903" spans="3:4" ht="15.75" customHeight="1">
      <c r="C903" s="1"/>
      <c r="D903" s="2"/>
    </row>
    <row r="904" spans="3:4" ht="15.75" customHeight="1">
      <c r="C904" s="1"/>
      <c r="D904" s="2"/>
    </row>
    <row r="905" spans="3:4" ht="15.75" customHeight="1">
      <c r="C905" s="1"/>
      <c r="D905" s="2"/>
    </row>
    <row r="906" spans="3:4" ht="15.75" customHeight="1">
      <c r="C906" s="1"/>
      <c r="D906" s="2"/>
    </row>
    <row r="907" spans="3:4" ht="15.75" customHeight="1">
      <c r="C907" s="1"/>
      <c r="D907" s="2"/>
    </row>
    <row r="908" spans="3:4" ht="15.75" customHeight="1">
      <c r="C908" s="1"/>
      <c r="D908" s="2"/>
    </row>
    <row r="909" spans="3:4" ht="15.75" customHeight="1">
      <c r="C909" s="1"/>
      <c r="D909" s="2"/>
    </row>
    <row r="910" spans="3:4" ht="15.75" customHeight="1">
      <c r="C910" s="1"/>
      <c r="D910" s="2"/>
    </row>
    <row r="911" spans="3:4" ht="15.75" customHeight="1">
      <c r="C911" s="1"/>
      <c r="D911" s="2"/>
    </row>
    <row r="912" spans="3:4" ht="15.75" customHeight="1">
      <c r="C912" s="1"/>
      <c r="D912" s="2"/>
    </row>
    <row r="913" spans="3:4" ht="15.75" customHeight="1">
      <c r="C913" s="1"/>
      <c r="D913" s="2"/>
    </row>
    <row r="914" spans="3:4" ht="15.75" customHeight="1">
      <c r="C914" s="1"/>
      <c r="D914" s="2"/>
    </row>
    <row r="915" spans="3:4" ht="15.75" customHeight="1">
      <c r="C915" s="1"/>
      <c r="D915" s="2"/>
    </row>
    <row r="916" spans="3:4" ht="15.75" customHeight="1">
      <c r="C916" s="1"/>
      <c r="D916" s="2"/>
    </row>
    <row r="917" spans="3:4" ht="15.75" customHeight="1">
      <c r="C917" s="1"/>
      <c r="D917" s="2"/>
    </row>
    <row r="918" spans="3:4" ht="15.75" customHeight="1">
      <c r="C918" s="1"/>
      <c r="D918" s="2"/>
    </row>
    <row r="919" spans="3:4" ht="15.75" customHeight="1">
      <c r="C919" s="1"/>
      <c r="D919" s="2"/>
    </row>
    <row r="920" spans="3:4" ht="15.75" customHeight="1">
      <c r="C920" s="1"/>
      <c r="D920" s="2"/>
    </row>
    <row r="921" spans="3:4" ht="15.75" customHeight="1">
      <c r="C921" s="1"/>
      <c r="D921" s="2"/>
    </row>
    <row r="922" spans="3:4" ht="15.75" customHeight="1">
      <c r="C922" s="1"/>
      <c r="D922" s="2"/>
    </row>
    <row r="923" spans="3:4" ht="15.75" customHeight="1">
      <c r="C923" s="1"/>
      <c r="D923" s="2"/>
    </row>
    <row r="924" spans="3:4" ht="15.75" customHeight="1">
      <c r="C924" s="1"/>
      <c r="D924" s="2"/>
    </row>
    <row r="925" spans="3:4" ht="15.75" customHeight="1">
      <c r="C925" s="1"/>
      <c r="D925" s="2"/>
    </row>
    <row r="926" spans="3:4" ht="15.75" customHeight="1">
      <c r="C926" s="1"/>
      <c r="D926" s="2"/>
    </row>
    <row r="927" spans="3:4" ht="15.75" customHeight="1">
      <c r="C927" s="1"/>
      <c r="D927" s="2"/>
    </row>
    <row r="928" spans="3:4" ht="15.75" customHeight="1">
      <c r="C928" s="1"/>
      <c r="D928" s="2"/>
    </row>
    <row r="929" spans="3:4" ht="15.75" customHeight="1">
      <c r="C929" s="1"/>
      <c r="D929" s="2"/>
    </row>
    <row r="930" spans="3:4" ht="15.75" customHeight="1">
      <c r="C930" s="1"/>
      <c r="D930" s="2"/>
    </row>
    <row r="931" spans="3:4" ht="15.75" customHeight="1">
      <c r="C931" s="1"/>
      <c r="D931" s="2"/>
    </row>
    <row r="932" spans="3:4" ht="15.75" customHeight="1">
      <c r="C932" s="1"/>
      <c r="D932" s="2"/>
    </row>
    <row r="933" spans="3:4" ht="15.75" customHeight="1">
      <c r="C933" s="1"/>
      <c r="D933" s="2"/>
    </row>
    <row r="934" spans="3:4" ht="15.75" customHeight="1">
      <c r="C934" s="1"/>
      <c r="D934" s="2"/>
    </row>
    <row r="935" spans="3:4" ht="15.75" customHeight="1">
      <c r="C935" s="1"/>
      <c r="D935" s="2"/>
    </row>
    <row r="936" spans="3:4" ht="15.75" customHeight="1">
      <c r="C936" s="1"/>
      <c r="D936" s="2"/>
    </row>
    <row r="937" spans="3:4" ht="15.75" customHeight="1">
      <c r="C937" s="1"/>
      <c r="D937" s="2"/>
    </row>
    <row r="938" spans="3:4" ht="15.75" customHeight="1">
      <c r="C938" s="1"/>
      <c r="D938" s="2"/>
    </row>
    <row r="939" spans="3:4" ht="15.75" customHeight="1">
      <c r="C939" s="1"/>
      <c r="D939" s="2"/>
    </row>
    <row r="940" spans="3:4" ht="15.75" customHeight="1">
      <c r="C940" s="1"/>
      <c r="D940" s="2"/>
    </row>
    <row r="941" spans="3:4" ht="15.75" customHeight="1">
      <c r="C941" s="1"/>
      <c r="D941" s="2"/>
    </row>
    <row r="942" spans="3:4" ht="15.75" customHeight="1">
      <c r="C942" s="1"/>
      <c r="D942" s="2"/>
    </row>
    <row r="943" spans="3:4" ht="15.75" customHeight="1">
      <c r="C943" s="1"/>
      <c r="D943" s="2"/>
    </row>
    <row r="944" spans="3:4" ht="15.75" customHeight="1">
      <c r="C944" s="1"/>
      <c r="D944" s="2"/>
    </row>
    <row r="945" spans="3:4" ht="15.75" customHeight="1">
      <c r="C945" s="1"/>
      <c r="D945" s="2"/>
    </row>
    <row r="946" spans="3:4" ht="15.75" customHeight="1">
      <c r="C946" s="1"/>
      <c r="D946" s="2"/>
    </row>
    <row r="947" spans="3:4" ht="15.75" customHeight="1">
      <c r="C947" s="1"/>
      <c r="D947" s="2"/>
    </row>
    <row r="948" spans="3:4" ht="15.75" customHeight="1">
      <c r="C948" s="1"/>
      <c r="D948" s="2"/>
    </row>
    <row r="949" spans="3:4" ht="15.75" customHeight="1">
      <c r="C949" s="1"/>
      <c r="D949" s="2"/>
    </row>
    <row r="950" spans="3:4" ht="15.75" customHeight="1">
      <c r="C950" s="1"/>
      <c r="D950" s="2"/>
    </row>
    <row r="951" spans="3:4" ht="15.75" customHeight="1">
      <c r="C951" s="1"/>
      <c r="D951" s="2"/>
    </row>
    <row r="952" spans="3:4" ht="15.75" customHeight="1">
      <c r="C952" s="1"/>
      <c r="D952" s="2"/>
    </row>
    <row r="953" spans="3:4" ht="15.75" customHeight="1">
      <c r="C953" s="1"/>
      <c r="D953" s="2"/>
    </row>
    <row r="954" spans="3:4" ht="15.75" customHeight="1">
      <c r="C954" s="1"/>
      <c r="D954" s="2"/>
    </row>
    <row r="955" spans="3:4" ht="15.75" customHeight="1">
      <c r="C955" s="1"/>
      <c r="D955" s="2"/>
    </row>
    <row r="956" spans="3:4" ht="15.75" customHeight="1">
      <c r="C956" s="1"/>
      <c r="D956" s="2"/>
    </row>
    <row r="957" spans="3:4" ht="15.75" customHeight="1">
      <c r="C957" s="1"/>
      <c r="D957" s="2"/>
    </row>
    <row r="958" spans="3:4" ht="15.75" customHeight="1">
      <c r="C958" s="1"/>
      <c r="D958" s="2"/>
    </row>
    <row r="959" spans="3:4" ht="15.75" customHeight="1">
      <c r="C959" s="1"/>
      <c r="D959" s="2"/>
    </row>
    <row r="960" spans="3:4" ht="15.75" customHeight="1">
      <c r="C960" s="1"/>
      <c r="D960" s="2"/>
    </row>
    <row r="961" spans="3:4" ht="15.75" customHeight="1">
      <c r="C961" s="1"/>
      <c r="D961" s="2"/>
    </row>
    <row r="962" spans="3:4" ht="15.75" customHeight="1">
      <c r="C962" s="1"/>
      <c r="D962" s="2"/>
    </row>
    <row r="963" spans="3:4" ht="15.75" customHeight="1">
      <c r="C963" s="1"/>
      <c r="D963" s="2"/>
    </row>
    <row r="964" spans="3:4" ht="15.75" customHeight="1">
      <c r="C964" s="1"/>
      <c r="D964" s="2"/>
    </row>
    <row r="965" spans="3:4" ht="15.75" customHeight="1">
      <c r="C965" s="1"/>
      <c r="D965" s="2"/>
    </row>
    <row r="966" spans="3:4" ht="15.75" customHeight="1">
      <c r="C966" s="1"/>
      <c r="D966" s="2"/>
    </row>
    <row r="967" spans="3:4" ht="15.75" customHeight="1">
      <c r="C967" s="1"/>
      <c r="D967" s="2"/>
    </row>
    <row r="968" spans="3:4" ht="15.75" customHeight="1">
      <c r="C968" s="1"/>
      <c r="D968" s="2"/>
    </row>
    <row r="969" spans="3:4" ht="15.75" customHeight="1">
      <c r="C969" s="1"/>
      <c r="D969" s="2"/>
    </row>
    <row r="970" spans="3:4" ht="15.75" customHeight="1">
      <c r="C970" s="1"/>
      <c r="D970" s="2"/>
    </row>
    <row r="971" spans="3:4" ht="15.75" customHeight="1">
      <c r="C971" s="1"/>
      <c r="D971" s="2"/>
    </row>
    <row r="972" spans="3:4" ht="15.75" customHeight="1">
      <c r="C972" s="1"/>
      <c r="D972" s="2"/>
    </row>
    <row r="973" spans="3:4" ht="15.75" customHeight="1">
      <c r="C973" s="1"/>
      <c r="D973" s="2"/>
    </row>
    <row r="974" spans="3:4" ht="15.75" customHeight="1">
      <c r="C974" s="1"/>
      <c r="D974" s="2"/>
    </row>
    <row r="975" spans="3:4" ht="15.75" customHeight="1">
      <c r="C975" s="1"/>
      <c r="D975" s="2"/>
    </row>
    <row r="976" spans="3:4" ht="15.75" customHeight="1">
      <c r="C976" s="1"/>
      <c r="D976" s="2"/>
    </row>
    <row r="977" spans="3:4" ht="15.75" customHeight="1">
      <c r="C977" s="1"/>
      <c r="D977" s="2"/>
    </row>
    <row r="978" spans="3:4" ht="15.75" customHeight="1">
      <c r="C978" s="1"/>
      <c r="D978" s="2"/>
    </row>
    <row r="979" spans="3:4" ht="15.75" customHeight="1">
      <c r="C979" s="1"/>
      <c r="D979" s="2"/>
    </row>
    <row r="980" spans="3:4" ht="15.75" customHeight="1">
      <c r="C980" s="1"/>
      <c r="D980" s="2"/>
    </row>
    <row r="981" spans="3:4" ht="15.75" customHeight="1">
      <c r="C981" s="1"/>
      <c r="D981" s="2"/>
    </row>
    <row r="982" spans="3:4" ht="15.75" customHeight="1">
      <c r="C982" s="1"/>
      <c r="D982" s="2"/>
    </row>
    <row r="983" spans="3:4" ht="15.75" customHeight="1">
      <c r="C983" s="1"/>
      <c r="D983" s="2"/>
    </row>
    <row r="984" spans="3:4" ht="15.75" customHeight="1">
      <c r="C984" s="1"/>
      <c r="D984" s="2"/>
    </row>
    <row r="985" spans="3:4" ht="15.75" customHeight="1">
      <c r="C985" s="1"/>
      <c r="D985" s="2"/>
    </row>
    <row r="986" spans="3:4" ht="15.75" customHeight="1">
      <c r="C986" s="1"/>
      <c r="D986" s="2"/>
    </row>
    <row r="987" spans="3:4" ht="15.75" customHeight="1">
      <c r="C987" s="1"/>
      <c r="D987" s="2"/>
    </row>
    <row r="988" spans="3:4" ht="15.75" customHeight="1">
      <c r="C988" s="1"/>
      <c r="D988" s="2"/>
    </row>
    <row r="989" spans="3:4" ht="15.75" customHeight="1">
      <c r="C989" s="1"/>
      <c r="D989" s="2"/>
    </row>
    <row r="990" spans="3:4" ht="15.75" customHeight="1">
      <c r="C990" s="1"/>
      <c r="D990" s="2"/>
    </row>
    <row r="991" spans="3:4" ht="15.75" customHeight="1">
      <c r="C991" s="1"/>
      <c r="D991" s="2"/>
    </row>
    <row r="992" spans="3:4" ht="15.75" customHeight="1">
      <c r="C992" s="1"/>
      <c r="D992" s="2"/>
    </row>
    <row r="993" spans="3:4" ht="15.75" customHeight="1">
      <c r="C993" s="1"/>
      <c r="D993" s="2"/>
    </row>
    <row r="994" spans="3:4" ht="15.75" customHeight="1">
      <c r="C994" s="1"/>
      <c r="D994" s="2"/>
    </row>
    <row r="995" spans="3:4" ht="15.75" customHeight="1">
      <c r="C995" s="1"/>
      <c r="D995" s="2"/>
    </row>
    <row r="996" spans="3:4" ht="15.75" customHeight="1">
      <c r="C996" s="1"/>
      <c r="D996" s="2"/>
    </row>
    <row r="997" spans="3:4" ht="15.75" customHeight="1">
      <c r="C997" s="1"/>
      <c r="D997" s="2"/>
    </row>
    <row r="998" spans="3:4" ht="15.75" customHeight="1">
      <c r="C998" s="1"/>
      <c r="D998" s="2"/>
    </row>
    <row r="999" spans="3:4" ht="15.75" customHeight="1">
      <c r="C999" s="1"/>
      <c r="D999" s="2"/>
    </row>
    <row r="1000" spans="3:4" ht="15.75" customHeight="1">
      <c r="C1000" s="1"/>
      <c r="D1000" s="2"/>
    </row>
  </sheetData>
  <mergeCells count="8">
    <mergeCell ref="B61:D61"/>
    <mergeCell ref="B76:D76"/>
    <mergeCell ref="B83:D83"/>
    <mergeCell ref="B16:D16"/>
    <mergeCell ref="B24:D24"/>
    <mergeCell ref="B33:D33"/>
    <mergeCell ref="B44:D44"/>
    <mergeCell ref="B52:D52"/>
  </mergeCells>
  <conditionalFormatting sqref="B17:D1000">
    <cfRule type="expression" dxfId="5" priority="1">
      <formula>$A17=TRUE</formula>
    </cfRule>
  </conditionalFormatting>
  <dataValidations count="1">
    <dataValidation type="list" allowBlank="1" showErrorMessage="1" sqref="C2" xr:uid="{00000000-0002-0000-0100-000000000000}">
      <formula1>"Summer,Winter"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97"/>
  <sheetViews>
    <sheetView showGridLines="0" workbookViewId="0"/>
  </sheetViews>
  <sheetFormatPr defaultColWidth="12.6328125" defaultRowHeight="15" customHeight="1"/>
  <cols>
    <col min="1" max="1" width="4.90625" customWidth="1"/>
    <col min="2" max="3" width="34.7265625" customWidth="1"/>
    <col min="4" max="4" width="18.26953125" customWidth="1"/>
    <col min="5" max="5" width="1.6328125" customWidth="1"/>
    <col min="6" max="6" width="18.6328125" customWidth="1"/>
    <col min="7" max="17" width="8.6328125" customWidth="1"/>
  </cols>
  <sheetData>
    <row r="1" spans="1:17" ht="14.5">
      <c r="C1" s="1"/>
      <c r="D1" s="2"/>
    </row>
    <row r="2" spans="1:17" ht="14.5">
      <c r="B2" s="3" t="s">
        <v>0</v>
      </c>
      <c r="C2" s="4" t="s">
        <v>1</v>
      </c>
      <c r="D2" s="2"/>
    </row>
    <row r="3" spans="1:17" ht="14.5">
      <c r="B3" s="5"/>
      <c r="D3" s="2"/>
    </row>
    <row r="4" spans="1:17" ht="14.5">
      <c r="B4" s="6">
        <f>SUMIFS(D17:D91, C17:C91, "&lt;=14")</f>
        <v>1812.2399999999998</v>
      </c>
      <c r="C4" s="7" t="s">
        <v>2</v>
      </c>
      <c r="D4" s="2"/>
    </row>
    <row r="5" spans="1:17" ht="14.5">
      <c r="B5" s="6">
        <f>SUMIFS(D17:D91, C17:C91, "&gt;=15")</f>
        <v>2369.98</v>
      </c>
      <c r="C5" s="7" t="s">
        <v>3</v>
      </c>
      <c r="D5" s="2"/>
    </row>
    <row r="6" spans="1:17" ht="14.5">
      <c r="C6" s="1"/>
    </row>
    <row r="7" spans="1:17" ht="21">
      <c r="B7" s="8" t="s">
        <v>4</v>
      </c>
      <c r="C7" s="9" t="s">
        <v>5</v>
      </c>
      <c r="D7" s="8" t="s">
        <v>6</v>
      </c>
      <c r="F7" s="24"/>
      <c r="G7" s="24"/>
    </row>
    <row r="8" spans="1:17" ht="14.5">
      <c r="A8" s="10" t="b">
        <f t="shared" ref="A8:A17" si="0">IFERROR(NOT(ISBLANK(C8)), FALSE)</f>
        <v>1</v>
      </c>
      <c r="B8" s="10" t="s">
        <v>9</v>
      </c>
      <c r="C8" s="1">
        <v>15</v>
      </c>
      <c r="D8" s="29">
        <v>3250.73</v>
      </c>
      <c r="F8" s="24"/>
      <c r="G8" s="24"/>
    </row>
    <row r="9" spans="1:17" ht="14.5">
      <c r="A9" s="10" t="b">
        <f t="shared" si="0"/>
        <v>1</v>
      </c>
      <c r="B9" s="10" t="s">
        <v>9</v>
      </c>
      <c r="C9" s="1">
        <v>30</v>
      </c>
      <c r="D9" s="29">
        <v>3250.73</v>
      </c>
      <c r="F9" s="24"/>
      <c r="G9" s="24"/>
    </row>
    <row r="10" spans="1:17" ht="14.5">
      <c r="A10" s="10" t="b">
        <f t="shared" si="0"/>
        <v>0</v>
      </c>
      <c r="B10" s="10" t="s">
        <v>10</v>
      </c>
      <c r="C10" s="1"/>
      <c r="D10" s="12"/>
      <c r="F10" s="24"/>
      <c r="G10" s="24"/>
      <c r="H10" s="24"/>
      <c r="J10" s="24"/>
    </row>
    <row r="11" spans="1:17" ht="14.5">
      <c r="A11" s="10" t="b">
        <f t="shared" si="0"/>
        <v>0</v>
      </c>
      <c r="B11" s="10" t="s">
        <v>11</v>
      </c>
      <c r="C11" s="1"/>
      <c r="D11" s="12"/>
      <c r="F11" s="24"/>
      <c r="G11" s="24"/>
    </row>
    <row r="12" spans="1:17" ht="14.5">
      <c r="A12" s="10" t="b">
        <f t="shared" si="0"/>
        <v>0</v>
      </c>
      <c r="B12" s="10" t="s">
        <v>12</v>
      </c>
      <c r="C12" s="1"/>
      <c r="D12" s="29"/>
      <c r="F12" s="24"/>
      <c r="G12" s="24"/>
    </row>
    <row r="13" spans="1:17" ht="8.25" customHeight="1">
      <c r="A13" s="10" t="b">
        <f t="shared" si="0"/>
        <v>0</v>
      </c>
      <c r="B13" s="13"/>
      <c r="C13" s="14"/>
      <c r="D13" s="15"/>
    </row>
    <row r="14" spans="1:17" ht="23.5">
      <c r="A14" s="10" t="b">
        <f t="shared" si="0"/>
        <v>0</v>
      </c>
      <c r="B14" s="17" t="s">
        <v>13</v>
      </c>
      <c r="C14" s="18"/>
      <c r="D14" s="19">
        <f>SUM(D8:D12)</f>
        <v>6501.46</v>
      </c>
      <c r="E14" s="16"/>
      <c r="F14" s="24"/>
      <c r="G14" s="24"/>
      <c r="H14" s="16"/>
      <c r="I14" s="16"/>
      <c r="J14" s="16"/>
      <c r="K14" s="16"/>
      <c r="L14" s="16"/>
      <c r="M14" s="16"/>
      <c r="N14" s="16"/>
      <c r="O14" s="16"/>
      <c r="P14" s="16"/>
      <c r="Q14" s="16"/>
    </row>
    <row r="15" spans="1:17" ht="8.25" customHeight="1">
      <c r="A15" s="10" t="b">
        <f t="shared" si="0"/>
        <v>0</v>
      </c>
      <c r="B15" s="13"/>
      <c r="C15" s="14"/>
      <c r="D15" s="15"/>
      <c r="F15" s="24"/>
      <c r="G15" s="24"/>
    </row>
    <row r="16" spans="1:17" ht="18.5">
      <c r="A16" s="10" t="b">
        <f t="shared" si="0"/>
        <v>0</v>
      </c>
      <c r="B16" s="105" t="s">
        <v>14</v>
      </c>
      <c r="C16" s="106"/>
      <c r="D16" s="106"/>
      <c r="F16" s="24"/>
      <c r="G16" s="24"/>
    </row>
    <row r="17" spans="1:7" ht="15.75" customHeight="1">
      <c r="A17" s="10" t="b">
        <f t="shared" si="0"/>
        <v>1</v>
      </c>
      <c r="B17" s="10" t="s">
        <v>15</v>
      </c>
      <c r="C17" s="1">
        <v>9</v>
      </c>
      <c r="D17" s="2"/>
      <c r="F17" s="24"/>
      <c r="G17" s="24"/>
    </row>
    <row r="18" spans="1:7" ht="15.75" customHeight="1">
      <c r="B18" s="10" t="s">
        <v>16</v>
      </c>
      <c r="C18" s="1">
        <v>4</v>
      </c>
      <c r="D18" s="2"/>
      <c r="F18" s="24"/>
      <c r="G18" s="24"/>
    </row>
    <row r="19" spans="1:7" ht="15.75" customHeight="1">
      <c r="B19" s="10" t="s">
        <v>17</v>
      </c>
      <c r="C19" s="1">
        <v>15</v>
      </c>
      <c r="D19" s="2"/>
      <c r="F19" s="24"/>
      <c r="G19" s="24"/>
    </row>
    <row r="20" spans="1:7" ht="15.75" customHeight="1">
      <c r="B20" s="10" t="s">
        <v>18</v>
      </c>
      <c r="C20" s="1">
        <v>17</v>
      </c>
      <c r="D20" s="2"/>
      <c r="F20" s="24"/>
      <c r="G20" s="24"/>
    </row>
    <row r="21" spans="1:7" ht="15.75" customHeight="1">
      <c r="B21" s="10" t="s">
        <v>19</v>
      </c>
      <c r="C21" s="1">
        <v>15</v>
      </c>
      <c r="D21" s="2">
        <v>120</v>
      </c>
      <c r="F21" s="24"/>
      <c r="G21" s="24"/>
    </row>
    <row r="22" spans="1:7" ht="15.75" customHeight="1">
      <c r="A22" s="10" t="b">
        <f t="shared" ref="A22:A25" si="1">IFERROR(NOT(ISBLANK(C22)), FALSE)</f>
        <v>1</v>
      </c>
      <c r="B22" s="10" t="s">
        <v>20</v>
      </c>
      <c r="C22" s="1">
        <v>13</v>
      </c>
      <c r="D22" s="2">
        <v>64</v>
      </c>
      <c r="F22" s="24"/>
      <c r="G22" s="24"/>
    </row>
    <row r="23" spans="1:7" ht="8.25" customHeight="1">
      <c r="A23" s="10" t="b">
        <f t="shared" si="1"/>
        <v>0</v>
      </c>
      <c r="B23" s="13"/>
      <c r="C23" s="14"/>
      <c r="D23" s="15"/>
      <c r="F23" s="24"/>
      <c r="G23" s="24"/>
    </row>
    <row r="24" spans="1:7" ht="15.75" customHeight="1">
      <c r="A24" s="10" t="b">
        <f t="shared" si="1"/>
        <v>0</v>
      </c>
      <c r="B24" s="105" t="s">
        <v>21</v>
      </c>
      <c r="C24" s="106"/>
      <c r="D24" s="106"/>
      <c r="F24" s="24"/>
      <c r="G24" s="24"/>
    </row>
    <row r="25" spans="1:7" ht="15.75" customHeight="1">
      <c r="A25" s="10" t="b">
        <f t="shared" si="1"/>
        <v>1</v>
      </c>
      <c r="B25" s="24" t="s">
        <v>75</v>
      </c>
      <c r="C25" s="1">
        <v>1</v>
      </c>
      <c r="D25" s="30">
        <v>407</v>
      </c>
    </row>
    <row r="26" spans="1:7" ht="15.75" customHeight="1">
      <c r="B26" s="10" t="s">
        <v>23</v>
      </c>
      <c r="C26" s="1">
        <v>15</v>
      </c>
      <c r="D26" s="2">
        <v>181.13</v>
      </c>
    </row>
    <row r="27" spans="1:7" ht="15.75" customHeight="1">
      <c r="A27" s="10" t="b">
        <f>IFERROR(NOT(ISBLANK(C27)), FALSE)</f>
        <v>1</v>
      </c>
      <c r="B27" s="10" t="s">
        <v>24</v>
      </c>
      <c r="C27" s="1">
        <v>15</v>
      </c>
      <c r="D27" s="2"/>
    </row>
    <row r="28" spans="1:7" ht="15.75" customHeight="1">
      <c r="B28" s="10" t="s">
        <v>25</v>
      </c>
      <c r="C28" s="1">
        <v>21</v>
      </c>
      <c r="D28" s="2">
        <v>235.17</v>
      </c>
      <c r="F28" s="24"/>
    </row>
    <row r="29" spans="1:7" ht="15.75" customHeight="1">
      <c r="B29" s="10" t="s">
        <v>26</v>
      </c>
      <c r="C29" s="1"/>
      <c r="D29" s="2">
        <v>268.44</v>
      </c>
      <c r="F29" s="24"/>
    </row>
    <row r="30" spans="1:7" ht="15.75" customHeight="1">
      <c r="A30" s="10" t="b">
        <f t="shared" ref="A30:A82" si="2">IFERROR(NOT(ISBLANK(C30)), FALSE)</f>
        <v>1</v>
      </c>
      <c r="B30" s="24" t="s">
        <v>76</v>
      </c>
      <c r="C30" s="1">
        <v>17</v>
      </c>
      <c r="D30" s="29">
        <v>595</v>
      </c>
      <c r="F30" s="24" t="s">
        <v>77</v>
      </c>
    </row>
    <row r="31" spans="1:7" ht="15.75" customHeight="1">
      <c r="A31" s="10" t="b">
        <f t="shared" si="2"/>
        <v>0</v>
      </c>
      <c r="B31" s="10" t="s">
        <v>28</v>
      </c>
      <c r="C31" s="1"/>
      <c r="D31" s="2"/>
    </row>
    <row r="32" spans="1:7" ht="8.25" customHeight="1">
      <c r="A32" s="10" t="b">
        <f t="shared" si="2"/>
        <v>0</v>
      </c>
      <c r="B32" s="13"/>
      <c r="C32" s="14"/>
      <c r="D32" s="15"/>
    </row>
    <row r="33" spans="1:4" ht="15.75" customHeight="1">
      <c r="A33" s="10" t="b">
        <f t="shared" si="2"/>
        <v>0</v>
      </c>
      <c r="B33" s="105" t="s">
        <v>29</v>
      </c>
      <c r="C33" s="106"/>
      <c r="D33" s="106"/>
    </row>
    <row r="34" spans="1:4" ht="15.75" customHeight="1">
      <c r="A34" s="10" t="b">
        <f t="shared" si="2"/>
        <v>1</v>
      </c>
      <c r="B34" s="10" t="s">
        <v>30</v>
      </c>
      <c r="C34" s="1">
        <v>1</v>
      </c>
      <c r="D34" s="2">
        <v>146.54</v>
      </c>
    </row>
    <row r="35" spans="1:4" ht="15.75" customHeight="1">
      <c r="A35" s="10" t="b">
        <f t="shared" si="2"/>
        <v>1</v>
      </c>
      <c r="B35" s="10" t="s">
        <v>31</v>
      </c>
      <c r="C35" s="1">
        <v>18</v>
      </c>
      <c r="D35" s="2">
        <v>33.159999999999997</v>
      </c>
    </row>
    <row r="36" spans="1:4" ht="15.75" customHeight="1">
      <c r="A36" s="10" t="b">
        <f t="shared" si="2"/>
        <v>0</v>
      </c>
      <c r="B36" s="10" t="s">
        <v>32</v>
      </c>
      <c r="C36" s="1"/>
      <c r="D36" s="2">
        <v>130</v>
      </c>
    </row>
    <row r="37" spans="1:4" ht="15.75" customHeight="1">
      <c r="A37" s="10" t="b">
        <f t="shared" si="2"/>
        <v>1</v>
      </c>
      <c r="B37" s="10" t="s">
        <v>33</v>
      </c>
      <c r="C37" s="31">
        <v>10</v>
      </c>
      <c r="D37" s="2">
        <f t="shared" ref="D37:D38" si="3">IF($C$2="Summer", 80, 0)</f>
        <v>80</v>
      </c>
    </row>
    <row r="38" spans="1:4" ht="15.75" customHeight="1">
      <c r="A38" s="10" t="b">
        <f t="shared" si="2"/>
        <v>1</v>
      </c>
      <c r="B38" s="10" t="s">
        <v>33</v>
      </c>
      <c r="C38" s="31">
        <v>24</v>
      </c>
      <c r="D38" s="2">
        <f t="shared" si="3"/>
        <v>80</v>
      </c>
    </row>
    <row r="39" spans="1:4" ht="15.75" customHeight="1">
      <c r="A39" s="10" t="b">
        <f t="shared" si="2"/>
        <v>0</v>
      </c>
      <c r="B39" s="10" t="s">
        <v>34</v>
      </c>
      <c r="C39" s="1"/>
      <c r="D39" s="2">
        <f>IF($C$2="Winter", 110, 0)</f>
        <v>0</v>
      </c>
    </row>
    <row r="40" spans="1:4" ht="15.75" customHeight="1">
      <c r="A40" s="10" t="b">
        <f t="shared" si="2"/>
        <v>1</v>
      </c>
      <c r="B40" s="10" t="s">
        <v>35</v>
      </c>
      <c r="C40" s="1">
        <v>5</v>
      </c>
      <c r="D40" s="2">
        <v>10.64</v>
      </c>
    </row>
    <row r="41" spans="1:4" ht="15.75" customHeight="1">
      <c r="A41" s="10" t="b">
        <f t="shared" si="2"/>
        <v>1</v>
      </c>
      <c r="B41" s="10" t="s">
        <v>36</v>
      </c>
      <c r="C41" s="1">
        <v>16</v>
      </c>
      <c r="D41" s="2">
        <v>18</v>
      </c>
    </row>
    <row r="42" spans="1:4" ht="8.25" customHeight="1">
      <c r="A42" s="10" t="b">
        <f t="shared" si="2"/>
        <v>0</v>
      </c>
      <c r="B42" s="13"/>
      <c r="C42" s="14"/>
      <c r="D42" s="15"/>
    </row>
    <row r="43" spans="1:4" ht="15.75" customHeight="1">
      <c r="A43" s="10" t="b">
        <f t="shared" si="2"/>
        <v>0</v>
      </c>
      <c r="B43" s="105" t="s">
        <v>37</v>
      </c>
      <c r="C43" s="106"/>
      <c r="D43" s="106"/>
    </row>
    <row r="44" spans="1:4" ht="15.75" customHeight="1">
      <c r="A44" s="10" t="b">
        <f t="shared" si="2"/>
        <v>1</v>
      </c>
      <c r="B44" s="10" t="s">
        <v>38</v>
      </c>
      <c r="C44" s="31">
        <v>4</v>
      </c>
      <c r="D44" s="2">
        <v>243.49</v>
      </c>
    </row>
    <row r="45" spans="1:4" ht="15.75" customHeight="1">
      <c r="A45" s="10" t="b">
        <f t="shared" si="2"/>
        <v>0</v>
      </c>
      <c r="B45" s="10" t="s">
        <v>39</v>
      </c>
      <c r="C45" s="1"/>
      <c r="D45" s="2"/>
    </row>
    <row r="46" spans="1:4" ht="15.75" customHeight="1">
      <c r="A46" s="10" t="b">
        <f t="shared" si="2"/>
        <v>1</v>
      </c>
      <c r="B46" s="32" t="s">
        <v>40</v>
      </c>
      <c r="C46" s="33">
        <v>15</v>
      </c>
      <c r="D46" s="34">
        <v>175</v>
      </c>
    </row>
    <row r="47" spans="1:4" ht="15.75" customHeight="1">
      <c r="A47" s="10" t="b">
        <f t="shared" si="2"/>
        <v>1</v>
      </c>
      <c r="B47" s="32" t="s">
        <v>41</v>
      </c>
      <c r="C47" s="33">
        <v>1</v>
      </c>
      <c r="D47" s="34">
        <v>192.43</v>
      </c>
    </row>
    <row r="48" spans="1:4" ht="15.75" customHeight="1">
      <c r="A48" s="10" t="b">
        <f t="shared" si="2"/>
        <v>1</v>
      </c>
      <c r="B48" s="10" t="s">
        <v>42</v>
      </c>
      <c r="C48" s="31">
        <v>27</v>
      </c>
      <c r="D48" s="2">
        <v>74.95</v>
      </c>
    </row>
    <row r="49" spans="1:4" ht="15.75" customHeight="1">
      <c r="A49" s="10" t="b">
        <f t="shared" si="2"/>
        <v>1</v>
      </c>
      <c r="B49" s="10" t="s">
        <v>43</v>
      </c>
      <c r="C49" s="31">
        <v>16</v>
      </c>
      <c r="D49" s="2">
        <v>82.37</v>
      </c>
    </row>
    <row r="50" spans="1:4" ht="8.25" customHeight="1">
      <c r="A50" s="10" t="b">
        <f t="shared" si="2"/>
        <v>0</v>
      </c>
      <c r="B50" s="13"/>
      <c r="C50" s="14"/>
      <c r="D50" s="15"/>
    </row>
    <row r="51" spans="1:4" ht="15.75" customHeight="1">
      <c r="A51" s="10" t="b">
        <f t="shared" si="2"/>
        <v>0</v>
      </c>
      <c r="B51" s="105" t="s">
        <v>44</v>
      </c>
      <c r="C51" s="106"/>
      <c r="D51" s="106"/>
    </row>
    <row r="52" spans="1:4" ht="15.75" customHeight="1">
      <c r="A52" s="10" t="b">
        <f t="shared" si="2"/>
        <v>1</v>
      </c>
      <c r="B52" s="10" t="s">
        <v>45</v>
      </c>
      <c r="C52" s="31">
        <v>5</v>
      </c>
      <c r="D52" s="29">
        <v>250</v>
      </c>
    </row>
    <row r="53" spans="1:4" ht="15.75" customHeight="1">
      <c r="A53" s="10" t="b">
        <f t="shared" si="2"/>
        <v>1</v>
      </c>
      <c r="B53" s="10" t="s">
        <v>45</v>
      </c>
      <c r="C53" s="31">
        <v>12</v>
      </c>
      <c r="D53" s="29">
        <v>250</v>
      </c>
    </row>
    <row r="54" spans="1:4" ht="15.75" customHeight="1">
      <c r="A54" s="10" t="b">
        <f t="shared" si="2"/>
        <v>1</v>
      </c>
      <c r="B54" s="10" t="s">
        <v>45</v>
      </c>
      <c r="C54" s="31">
        <v>19</v>
      </c>
      <c r="D54" s="2">
        <v>250</v>
      </c>
    </row>
    <row r="55" spans="1:4" ht="15.75" customHeight="1">
      <c r="A55" s="10" t="b">
        <f t="shared" si="2"/>
        <v>1</v>
      </c>
      <c r="B55" s="10" t="s">
        <v>45</v>
      </c>
      <c r="C55" s="31">
        <v>26</v>
      </c>
      <c r="D55" s="2">
        <v>250</v>
      </c>
    </row>
    <row r="56" spans="1:4" ht="15.75" customHeight="1">
      <c r="A56" s="10" t="b">
        <f t="shared" si="2"/>
        <v>1</v>
      </c>
      <c r="B56" s="10" t="s">
        <v>46</v>
      </c>
      <c r="C56" s="1">
        <v>16</v>
      </c>
      <c r="D56" s="2">
        <v>30</v>
      </c>
    </row>
    <row r="57" spans="1:4" ht="15.75" customHeight="1">
      <c r="A57" s="10" t="b">
        <f t="shared" si="2"/>
        <v>1</v>
      </c>
      <c r="B57" s="10" t="s">
        <v>47</v>
      </c>
      <c r="C57" s="1">
        <v>16</v>
      </c>
      <c r="D57" s="2">
        <v>50</v>
      </c>
    </row>
    <row r="58" spans="1:4" ht="8.25" customHeight="1">
      <c r="A58" s="10" t="b">
        <f t="shared" si="2"/>
        <v>0</v>
      </c>
      <c r="B58" s="13"/>
      <c r="C58" s="14"/>
      <c r="D58" s="15"/>
    </row>
    <row r="59" spans="1:4" ht="15.75" customHeight="1">
      <c r="A59" s="10" t="b">
        <f t="shared" si="2"/>
        <v>0</v>
      </c>
      <c r="B59" s="105" t="s">
        <v>48</v>
      </c>
      <c r="C59" s="106"/>
      <c r="D59" s="106"/>
    </row>
    <row r="60" spans="1:4" ht="15.75" customHeight="1">
      <c r="A60" s="10" t="b">
        <f t="shared" si="2"/>
        <v>1</v>
      </c>
      <c r="B60" s="10" t="s">
        <v>49</v>
      </c>
      <c r="C60" s="1">
        <v>24</v>
      </c>
      <c r="D60" s="2">
        <v>22.23</v>
      </c>
    </row>
    <row r="61" spans="1:4" ht="15.75" customHeight="1">
      <c r="A61" s="10" t="b">
        <f t="shared" si="2"/>
        <v>1</v>
      </c>
      <c r="B61" s="10" t="s">
        <v>50</v>
      </c>
      <c r="C61" s="1">
        <v>6</v>
      </c>
      <c r="D61" s="2">
        <v>32.869999999999997</v>
      </c>
    </row>
    <row r="62" spans="1:4" ht="15.75" customHeight="1">
      <c r="A62" s="10" t="b">
        <f t="shared" si="2"/>
        <v>1</v>
      </c>
      <c r="B62" s="10" t="s">
        <v>51</v>
      </c>
      <c r="C62" s="31">
        <v>2</v>
      </c>
      <c r="D62" s="2">
        <v>105.29</v>
      </c>
    </row>
    <row r="63" spans="1:4" ht="15.75" customHeight="1">
      <c r="A63" s="10" t="b">
        <f t="shared" si="2"/>
        <v>1</v>
      </c>
      <c r="B63" s="10" t="s">
        <v>51</v>
      </c>
      <c r="C63" s="31">
        <v>16</v>
      </c>
      <c r="D63" s="2">
        <v>105.29</v>
      </c>
    </row>
    <row r="64" spans="1:4" ht="15.75" customHeight="1">
      <c r="A64" s="10" t="b">
        <f t="shared" si="2"/>
        <v>1</v>
      </c>
      <c r="B64" s="10" t="s">
        <v>53</v>
      </c>
      <c r="C64" s="31">
        <v>14</v>
      </c>
      <c r="D64" s="2">
        <v>14.99</v>
      </c>
    </row>
    <row r="65" spans="1:17" ht="15.75" customHeight="1">
      <c r="A65" s="10" t="b">
        <f t="shared" si="2"/>
        <v>1</v>
      </c>
      <c r="B65" s="10" t="s">
        <v>55</v>
      </c>
      <c r="C65" s="1">
        <v>25</v>
      </c>
      <c r="D65" s="2">
        <v>14.04</v>
      </c>
    </row>
    <row r="66" spans="1:17" ht="15.75" customHeight="1">
      <c r="A66" s="10" t="b">
        <f t="shared" si="2"/>
        <v>1</v>
      </c>
      <c r="B66" s="10" t="s">
        <v>56</v>
      </c>
      <c r="C66" s="1">
        <v>17</v>
      </c>
      <c r="D66" s="2">
        <v>14.14</v>
      </c>
    </row>
    <row r="67" spans="1:17" ht="15.75" customHeight="1">
      <c r="A67" s="10" t="b">
        <f t="shared" si="2"/>
        <v>1</v>
      </c>
      <c r="B67" s="10" t="s">
        <v>57</v>
      </c>
      <c r="C67" s="1">
        <v>23</v>
      </c>
      <c r="D67" s="2">
        <v>19.3</v>
      </c>
    </row>
    <row r="68" spans="1:17" ht="15.75" customHeight="1">
      <c r="A68" s="10" t="b">
        <f t="shared" si="2"/>
        <v>1</v>
      </c>
      <c r="B68" s="10" t="s">
        <v>58</v>
      </c>
      <c r="C68" s="1">
        <v>9</v>
      </c>
      <c r="D68" s="2">
        <v>14.99</v>
      </c>
    </row>
    <row r="69" spans="1:17" ht="15.75" customHeight="1">
      <c r="A69" s="10" t="b">
        <f t="shared" si="2"/>
        <v>1</v>
      </c>
      <c r="B69" s="10" t="s">
        <v>59</v>
      </c>
      <c r="C69" s="1">
        <v>16</v>
      </c>
      <c r="D69" s="2">
        <v>20.2</v>
      </c>
    </row>
    <row r="70" spans="1:17" ht="15.75" customHeight="1">
      <c r="A70" s="10" t="b">
        <f t="shared" si="2"/>
        <v>0</v>
      </c>
      <c r="C70" s="1"/>
      <c r="D70" s="2"/>
    </row>
    <row r="71" spans="1:17" ht="15.75" customHeight="1">
      <c r="A71" s="10" t="b">
        <f t="shared" si="2"/>
        <v>0</v>
      </c>
      <c r="C71" s="1"/>
      <c r="D71" s="2"/>
    </row>
    <row r="72" spans="1:17" ht="8.25" customHeight="1">
      <c r="A72" s="10" t="b">
        <f t="shared" si="2"/>
        <v>0</v>
      </c>
      <c r="B72" s="13"/>
      <c r="C72" s="14"/>
      <c r="D72" s="15"/>
    </row>
    <row r="73" spans="1:17" ht="15.75" customHeight="1">
      <c r="A73" s="10" t="b">
        <f t="shared" si="2"/>
        <v>0</v>
      </c>
      <c r="B73" s="105" t="s">
        <v>62</v>
      </c>
      <c r="C73" s="106"/>
      <c r="D73" s="106"/>
    </row>
    <row r="74" spans="1:17" ht="15.75" customHeight="1">
      <c r="A74" s="10" t="b">
        <f t="shared" si="2"/>
        <v>0</v>
      </c>
      <c r="C74" s="1"/>
      <c r="D74" s="2"/>
    </row>
    <row r="75" spans="1:17" ht="15.75" customHeight="1">
      <c r="A75" s="10" t="b">
        <f t="shared" si="2"/>
        <v>0</v>
      </c>
      <c r="C75" s="1"/>
      <c r="D75" s="2"/>
    </row>
    <row r="76" spans="1:17" ht="8.25" customHeight="1">
      <c r="A76" s="10" t="b">
        <f t="shared" si="2"/>
        <v>0</v>
      </c>
      <c r="B76" s="13"/>
      <c r="C76" s="14"/>
      <c r="D76" s="15"/>
    </row>
    <row r="77" spans="1:17" ht="15.75" customHeight="1">
      <c r="A77" s="10" t="b">
        <f t="shared" si="2"/>
        <v>0</v>
      </c>
      <c r="B77" s="21" t="s">
        <v>63</v>
      </c>
      <c r="C77" s="22"/>
      <c r="D77" s="23">
        <f>$D$14-SUM($D$17:$D$76)</f>
        <v>1920.8000000000011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</row>
    <row r="78" spans="1:17" ht="8.25" customHeight="1">
      <c r="A78" s="10" t="b">
        <f t="shared" si="2"/>
        <v>0</v>
      </c>
      <c r="C78" s="1"/>
      <c r="D78" s="2"/>
    </row>
    <row r="79" spans="1:17" ht="15.75" customHeight="1">
      <c r="A79" s="10" t="b">
        <f t="shared" si="2"/>
        <v>0</v>
      </c>
      <c r="C79" s="1"/>
      <c r="D79" s="2"/>
    </row>
    <row r="80" spans="1:17" ht="15.75" customHeight="1">
      <c r="A80" s="10" t="b">
        <f t="shared" si="2"/>
        <v>0</v>
      </c>
      <c r="B80" s="105" t="s">
        <v>64</v>
      </c>
      <c r="C80" s="106"/>
      <c r="D80" s="106"/>
    </row>
    <row r="81" spans="1:4" ht="15.75" customHeight="1">
      <c r="A81" s="10" t="b">
        <f t="shared" si="2"/>
        <v>0</v>
      </c>
      <c r="B81" s="10" t="s">
        <v>65</v>
      </c>
      <c r="C81" s="1"/>
      <c r="D81" s="2"/>
    </row>
    <row r="82" spans="1:4" ht="15.75" customHeight="1">
      <c r="A82" s="10" t="b">
        <f t="shared" si="2"/>
        <v>0</v>
      </c>
      <c r="B82" s="10" t="s">
        <v>66</v>
      </c>
      <c r="C82" s="1"/>
      <c r="D82" s="2"/>
    </row>
    <row r="83" spans="1:4" ht="15.75" customHeight="1">
      <c r="C83" s="1"/>
      <c r="D83" s="2"/>
    </row>
    <row r="84" spans="1:4" ht="15.75" customHeight="1">
      <c r="C84" s="1"/>
      <c r="D84" s="2"/>
    </row>
    <row r="85" spans="1:4" ht="15.75" customHeight="1">
      <c r="C85" s="1"/>
      <c r="D85" s="2"/>
    </row>
    <row r="86" spans="1:4" ht="15.75" customHeight="1">
      <c r="C86" s="1"/>
      <c r="D86" s="2"/>
    </row>
    <row r="87" spans="1:4" ht="15.75" customHeight="1">
      <c r="C87" s="1"/>
      <c r="D87" s="2"/>
    </row>
    <row r="88" spans="1:4" ht="15.75" customHeight="1">
      <c r="C88" s="1"/>
      <c r="D88" s="2"/>
    </row>
    <row r="89" spans="1:4" ht="15.75" customHeight="1">
      <c r="C89" s="1"/>
      <c r="D89" s="2"/>
    </row>
    <row r="90" spans="1:4" ht="15.75" customHeight="1">
      <c r="C90" s="1"/>
      <c r="D90" s="2"/>
    </row>
    <row r="91" spans="1:4" ht="15.75" customHeight="1">
      <c r="C91" s="1"/>
      <c r="D91" s="2"/>
    </row>
    <row r="92" spans="1:4" ht="15.75" customHeight="1">
      <c r="C92" s="1"/>
      <c r="D92" s="2"/>
    </row>
    <row r="93" spans="1:4" ht="15.75" customHeight="1">
      <c r="C93" s="1"/>
      <c r="D93" s="2"/>
    </row>
    <row r="94" spans="1:4" ht="15.75" customHeight="1">
      <c r="C94" s="1"/>
      <c r="D94" s="2"/>
    </row>
    <row r="95" spans="1:4" ht="15.75" customHeight="1">
      <c r="C95" s="1"/>
      <c r="D95" s="2"/>
    </row>
    <row r="96" spans="1:4" ht="15.75" customHeight="1">
      <c r="C96" s="1"/>
      <c r="D96" s="2"/>
    </row>
    <row r="97" spans="3:4" ht="15.75" customHeight="1">
      <c r="C97" s="1"/>
      <c r="D97" s="2"/>
    </row>
    <row r="98" spans="3:4" ht="15.75" customHeight="1">
      <c r="C98" s="1"/>
      <c r="D98" s="2"/>
    </row>
    <row r="99" spans="3:4" ht="15.75" customHeight="1">
      <c r="C99" s="1"/>
      <c r="D99" s="2"/>
    </row>
    <row r="100" spans="3:4" ht="15.75" customHeight="1">
      <c r="C100" s="1"/>
      <c r="D100" s="2"/>
    </row>
    <row r="101" spans="3:4" ht="15.75" customHeight="1">
      <c r="C101" s="1"/>
      <c r="D101" s="2"/>
    </row>
    <row r="102" spans="3:4" ht="15.75" customHeight="1">
      <c r="C102" s="1"/>
      <c r="D102" s="2"/>
    </row>
    <row r="103" spans="3:4" ht="15.75" customHeight="1">
      <c r="C103" s="1"/>
      <c r="D103" s="2"/>
    </row>
    <row r="104" spans="3:4" ht="15.75" customHeight="1">
      <c r="C104" s="1"/>
      <c r="D104" s="2"/>
    </row>
    <row r="105" spans="3:4" ht="15.75" customHeight="1">
      <c r="C105" s="1"/>
      <c r="D105" s="2"/>
    </row>
    <row r="106" spans="3:4" ht="15.75" customHeight="1">
      <c r="C106" s="1"/>
      <c r="D106" s="2"/>
    </row>
    <row r="107" spans="3:4" ht="15.75" customHeight="1">
      <c r="C107" s="1"/>
      <c r="D107" s="2"/>
    </row>
    <row r="108" spans="3:4" ht="15.75" customHeight="1">
      <c r="C108" s="1"/>
      <c r="D108" s="2"/>
    </row>
    <row r="109" spans="3:4" ht="15.75" customHeight="1">
      <c r="C109" s="1"/>
      <c r="D109" s="2"/>
    </row>
    <row r="110" spans="3:4" ht="15.75" customHeight="1">
      <c r="C110" s="1"/>
      <c r="D110" s="2"/>
    </row>
    <row r="111" spans="3:4" ht="15.75" customHeight="1">
      <c r="C111" s="1"/>
      <c r="D111" s="2"/>
    </row>
    <row r="112" spans="3:4" ht="15.75" customHeight="1">
      <c r="C112" s="1"/>
      <c r="D112" s="2"/>
    </row>
    <row r="113" spans="3:4" ht="15.75" customHeight="1">
      <c r="C113" s="1"/>
      <c r="D113" s="2"/>
    </row>
    <row r="114" spans="3:4" ht="15.75" customHeight="1">
      <c r="C114" s="1"/>
      <c r="D114" s="2"/>
    </row>
    <row r="115" spans="3:4" ht="15.75" customHeight="1">
      <c r="C115" s="1"/>
      <c r="D115" s="2"/>
    </row>
    <row r="116" spans="3:4" ht="15.75" customHeight="1">
      <c r="C116" s="1"/>
      <c r="D116" s="2"/>
    </row>
    <row r="117" spans="3:4" ht="15.75" customHeight="1">
      <c r="C117" s="1"/>
      <c r="D117" s="2"/>
    </row>
    <row r="118" spans="3:4" ht="15.75" customHeight="1">
      <c r="C118" s="1"/>
      <c r="D118" s="2"/>
    </row>
    <row r="119" spans="3:4" ht="15.75" customHeight="1">
      <c r="C119" s="1"/>
      <c r="D119" s="2"/>
    </row>
    <row r="120" spans="3:4" ht="15.75" customHeight="1">
      <c r="C120" s="1"/>
      <c r="D120" s="2"/>
    </row>
    <row r="121" spans="3:4" ht="15.75" customHeight="1">
      <c r="C121" s="1"/>
      <c r="D121" s="2"/>
    </row>
    <row r="122" spans="3:4" ht="15.75" customHeight="1">
      <c r="C122" s="1"/>
      <c r="D122" s="2"/>
    </row>
    <row r="123" spans="3:4" ht="15.75" customHeight="1">
      <c r="C123" s="1"/>
      <c r="D123" s="2"/>
    </row>
    <row r="124" spans="3:4" ht="15.75" customHeight="1">
      <c r="C124" s="1"/>
      <c r="D124" s="2"/>
    </row>
    <row r="125" spans="3:4" ht="15.75" customHeight="1">
      <c r="C125" s="1"/>
      <c r="D125" s="2"/>
    </row>
    <row r="126" spans="3:4" ht="15.75" customHeight="1">
      <c r="C126" s="1"/>
      <c r="D126" s="2"/>
    </row>
    <row r="127" spans="3:4" ht="15.75" customHeight="1">
      <c r="C127" s="1"/>
      <c r="D127" s="2"/>
    </row>
    <row r="128" spans="3:4" ht="15.75" customHeight="1">
      <c r="C128" s="1"/>
      <c r="D128" s="2"/>
    </row>
    <row r="129" spans="3:4" ht="15.75" customHeight="1">
      <c r="C129" s="1"/>
      <c r="D129" s="2"/>
    </row>
    <row r="130" spans="3:4" ht="15.75" customHeight="1">
      <c r="C130" s="1"/>
      <c r="D130" s="2"/>
    </row>
    <row r="131" spans="3:4" ht="15.75" customHeight="1">
      <c r="C131" s="1"/>
      <c r="D131" s="2"/>
    </row>
    <row r="132" spans="3:4" ht="15.75" customHeight="1">
      <c r="C132" s="1"/>
      <c r="D132" s="2"/>
    </row>
    <row r="133" spans="3:4" ht="15.75" customHeight="1">
      <c r="C133" s="1"/>
      <c r="D133" s="2"/>
    </row>
    <row r="134" spans="3:4" ht="15.75" customHeight="1">
      <c r="C134" s="1"/>
      <c r="D134" s="2"/>
    </row>
    <row r="135" spans="3:4" ht="15.75" customHeight="1">
      <c r="C135" s="1"/>
      <c r="D135" s="2"/>
    </row>
    <row r="136" spans="3:4" ht="15.75" customHeight="1">
      <c r="C136" s="1"/>
      <c r="D136" s="2"/>
    </row>
    <row r="137" spans="3:4" ht="15.75" customHeight="1">
      <c r="C137" s="1"/>
      <c r="D137" s="2"/>
    </row>
    <row r="138" spans="3:4" ht="15.75" customHeight="1">
      <c r="C138" s="1"/>
      <c r="D138" s="2"/>
    </row>
    <row r="139" spans="3:4" ht="15.75" customHeight="1">
      <c r="C139" s="1"/>
      <c r="D139" s="2"/>
    </row>
    <row r="140" spans="3:4" ht="15.75" customHeight="1">
      <c r="C140" s="1"/>
      <c r="D140" s="2"/>
    </row>
    <row r="141" spans="3:4" ht="15.75" customHeight="1">
      <c r="C141" s="1"/>
      <c r="D141" s="2"/>
    </row>
    <row r="142" spans="3:4" ht="15.75" customHeight="1">
      <c r="C142" s="1"/>
      <c r="D142" s="2"/>
    </row>
    <row r="143" spans="3:4" ht="15.75" customHeight="1">
      <c r="C143" s="1"/>
      <c r="D143" s="2"/>
    </row>
    <row r="144" spans="3:4" ht="15.75" customHeight="1">
      <c r="C144" s="1"/>
      <c r="D144" s="2"/>
    </row>
    <row r="145" spans="3:4" ht="15.75" customHeight="1">
      <c r="C145" s="1"/>
      <c r="D145" s="2"/>
    </row>
    <row r="146" spans="3:4" ht="15.75" customHeight="1">
      <c r="C146" s="1"/>
      <c r="D146" s="2"/>
    </row>
    <row r="147" spans="3:4" ht="15.75" customHeight="1">
      <c r="C147" s="1"/>
      <c r="D147" s="2"/>
    </row>
    <row r="148" spans="3:4" ht="15.75" customHeight="1">
      <c r="C148" s="1"/>
      <c r="D148" s="2"/>
    </row>
    <row r="149" spans="3:4" ht="15.75" customHeight="1">
      <c r="C149" s="1"/>
      <c r="D149" s="2"/>
    </row>
    <row r="150" spans="3:4" ht="15.75" customHeight="1">
      <c r="C150" s="1"/>
      <c r="D150" s="2"/>
    </row>
    <row r="151" spans="3:4" ht="15.75" customHeight="1">
      <c r="C151" s="1"/>
      <c r="D151" s="2"/>
    </row>
    <row r="152" spans="3:4" ht="15.75" customHeight="1">
      <c r="C152" s="1"/>
      <c r="D152" s="2"/>
    </row>
    <row r="153" spans="3:4" ht="15.75" customHeight="1">
      <c r="C153" s="1"/>
      <c r="D153" s="2"/>
    </row>
    <row r="154" spans="3:4" ht="15.75" customHeight="1">
      <c r="C154" s="1"/>
      <c r="D154" s="2"/>
    </row>
    <row r="155" spans="3:4" ht="15.75" customHeight="1">
      <c r="C155" s="1"/>
      <c r="D155" s="2"/>
    </row>
    <row r="156" spans="3:4" ht="15.75" customHeight="1">
      <c r="C156" s="1"/>
      <c r="D156" s="2"/>
    </row>
    <row r="157" spans="3:4" ht="15.75" customHeight="1">
      <c r="C157" s="1"/>
      <c r="D157" s="2"/>
    </row>
    <row r="158" spans="3:4" ht="15.75" customHeight="1">
      <c r="C158" s="1"/>
      <c r="D158" s="2"/>
    </row>
    <row r="159" spans="3:4" ht="15.75" customHeight="1">
      <c r="C159" s="1"/>
      <c r="D159" s="2"/>
    </row>
    <row r="160" spans="3:4" ht="15.75" customHeight="1">
      <c r="C160" s="1"/>
      <c r="D160" s="2"/>
    </row>
    <row r="161" spans="3:4" ht="15.75" customHeight="1">
      <c r="C161" s="1"/>
      <c r="D161" s="2"/>
    </row>
    <row r="162" spans="3:4" ht="15.75" customHeight="1">
      <c r="C162" s="1"/>
      <c r="D162" s="2"/>
    </row>
    <row r="163" spans="3:4" ht="15.75" customHeight="1">
      <c r="C163" s="1"/>
      <c r="D163" s="2"/>
    </row>
    <row r="164" spans="3:4" ht="15.75" customHeight="1">
      <c r="C164" s="1"/>
      <c r="D164" s="2"/>
    </row>
    <row r="165" spans="3:4" ht="15.75" customHeight="1">
      <c r="C165" s="1"/>
      <c r="D165" s="2"/>
    </row>
    <row r="166" spans="3:4" ht="15.75" customHeight="1">
      <c r="C166" s="1"/>
      <c r="D166" s="2"/>
    </row>
    <row r="167" spans="3:4" ht="15.75" customHeight="1">
      <c r="C167" s="1"/>
      <c r="D167" s="2"/>
    </row>
    <row r="168" spans="3:4" ht="15.75" customHeight="1">
      <c r="C168" s="1"/>
      <c r="D168" s="2"/>
    </row>
    <row r="169" spans="3:4" ht="15.75" customHeight="1">
      <c r="C169" s="1"/>
      <c r="D169" s="2"/>
    </row>
    <row r="170" spans="3:4" ht="15.75" customHeight="1">
      <c r="C170" s="1"/>
      <c r="D170" s="2"/>
    </row>
    <row r="171" spans="3:4" ht="15.75" customHeight="1">
      <c r="C171" s="1"/>
      <c r="D171" s="2"/>
    </row>
    <row r="172" spans="3:4" ht="15.75" customHeight="1">
      <c r="C172" s="1"/>
      <c r="D172" s="2"/>
    </row>
    <row r="173" spans="3:4" ht="15.75" customHeight="1">
      <c r="C173" s="1"/>
      <c r="D173" s="2"/>
    </row>
    <row r="174" spans="3:4" ht="15.75" customHeight="1">
      <c r="C174" s="1"/>
      <c r="D174" s="2"/>
    </row>
    <row r="175" spans="3:4" ht="15.75" customHeight="1">
      <c r="C175" s="1"/>
      <c r="D175" s="2"/>
    </row>
    <row r="176" spans="3:4" ht="15.75" customHeight="1">
      <c r="C176" s="1"/>
      <c r="D176" s="2"/>
    </row>
    <row r="177" spans="3:4" ht="15.75" customHeight="1">
      <c r="C177" s="1"/>
      <c r="D177" s="2"/>
    </row>
    <row r="178" spans="3:4" ht="15.75" customHeight="1">
      <c r="C178" s="1"/>
      <c r="D178" s="2"/>
    </row>
    <row r="179" spans="3:4" ht="15.75" customHeight="1">
      <c r="C179" s="1"/>
      <c r="D179" s="2"/>
    </row>
    <row r="180" spans="3:4" ht="15.75" customHeight="1">
      <c r="C180" s="1"/>
      <c r="D180" s="2"/>
    </row>
    <row r="181" spans="3:4" ht="15.75" customHeight="1">
      <c r="C181" s="1"/>
      <c r="D181" s="2"/>
    </row>
    <row r="182" spans="3:4" ht="15.75" customHeight="1">
      <c r="C182" s="1"/>
      <c r="D182" s="2"/>
    </row>
    <row r="183" spans="3:4" ht="15.75" customHeight="1">
      <c r="C183" s="1"/>
      <c r="D183" s="2"/>
    </row>
    <row r="184" spans="3:4" ht="15.75" customHeight="1">
      <c r="C184" s="1"/>
      <c r="D184" s="2"/>
    </row>
    <row r="185" spans="3:4" ht="15.75" customHeight="1">
      <c r="C185" s="1"/>
      <c r="D185" s="2"/>
    </row>
    <row r="186" spans="3:4" ht="15.75" customHeight="1">
      <c r="C186" s="1"/>
      <c r="D186" s="2"/>
    </row>
    <row r="187" spans="3:4" ht="15.75" customHeight="1">
      <c r="C187" s="1"/>
      <c r="D187" s="2"/>
    </row>
    <row r="188" spans="3:4" ht="15.75" customHeight="1">
      <c r="C188" s="1"/>
      <c r="D188" s="2"/>
    </row>
    <row r="189" spans="3:4" ht="15.75" customHeight="1">
      <c r="C189" s="1"/>
      <c r="D189" s="2"/>
    </row>
    <row r="190" spans="3:4" ht="15.75" customHeight="1">
      <c r="C190" s="1"/>
      <c r="D190" s="2"/>
    </row>
    <row r="191" spans="3:4" ht="15.75" customHeight="1">
      <c r="C191" s="1"/>
      <c r="D191" s="2"/>
    </row>
    <row r="192" spans="3:4" ht="15.75" customHeight="1">
      <c r="C192" s="1"/>
      <c r="D192" s="2"/>
    </row>
    <row r="193" spans="3:4" ht="15.75" customHeight="1">
      <c r="C193" s="1"/>
      <c r="D193" s="2"/>
    </row>
    <row r="194" spans="3:4" ht="15.75" customHeight="1">
      <c r="C194" s="1"/>
      <c r="D194" s="2"/>
    </row>
    <row r="195" spans="3:4" ht="15.75" customHeight="1">
      <c r="C195" s="1"/>
      <c r="D195" s="2"/>
    </row>
    <row r="196" spans="3:4" ht="15.75" customHeight="1">
      <c r="C196" s="1"/>
      <c r="D196" s="2"/>
    </row>
    <row r="197" spans="3:4" ht="15.75" customHeight="1">
      <c r="C197" s="1"/>
      <c r="D197" s="2"/>
    </row>
    <row r="198" spans="3:4" ht="15.75" customHeight="1">
      <c r="C198" s="1"/>
      <c r="D198" s="2"/>
    </row>
    <row r="199" spans="3:4" ht="15.75" customHeight="1">
      <c r="C199" s="1"/>
      <c r="D199" s="2"/>
    </row>
    <row r="200" spans="3:4" ht="15.75" customHeight="1">
      <c r="C200" s="1"/>
      <c r="D200" s="2"/>
    </row>
    <row r="201" spans="3:4" ht="15.75" customHeight="1">
      <c r="C201" s="1"/>
      <c r="D201" s="2"/>
    </row>
    <row r="202" spans="3:4" ht="15.75" customHeight="1">
      <c r="C202" s="1"/>
      <c r="D202" s="2"/>
    </row>
    <row r="203" spans="3:4" ht="15.75" customHeight="1">
      <c r="C203" s="1"/>
      <c r="D203" s="2"/>
    </row>
    <row r="204" spans="3:4" ht="15.75" customHeight="1">
      <c r="C204" s="1"/>
      <c r="D204" s="2"/>
    </row>
    <row r="205" spans="3:4" ht="15.75" customHeight="1">
      <c r="C205" s="1"/>
      <c r="D205" s="2"/>
    </row>
    <row r="206" spans="3:4" ht="15.75" customHeight="1">
      <c r="C206" s="1"/>
      <c r="D206" s="2"/>
    </row>
    <row r="207" spans="3:4" ht="15.75" customHeight="1">
      <c r="C207" s="1"/>
      <c r="D207" s="2"/>
    </row>
    <row r="208" spans="3:4" ht="15.75" customHeight="1">
      <c r="C208" s="1"/>
      <c r="D208" s="2"/>
    </row>
    <row r="209" spans="3:4" ht="15.75" customHeight="1">
      <c r="C209" s="1"/>
      <c r="D209" s="2"/>
    </row>
    <row r="210" spans="3:4" ht="15.75" customHeight="1">
      <c r="C210" s="1"/>
      <c r="D210" s="2"/>
    </row>
    <row r="211" spans="3:4" ht="15.75" customHeight="1">
      <c r="C211" s="1"/>
      <c r="D211" s="2"/>
    </row>
    <row r="212" spans="3:4" ht="15.75" customHeight="1">
      <c r="C212" s="1"/>
      <c r="D212" s="2"/>
    </row>
    <row r="213" spans="3:4" ht="15.75" customHeight="1">
      <c r="C213" s="1"/>
      <c r="D213" s="2"/>
    </row>
    <row r="214" spans="3:4" ht="15.75" customHeight="1">
      <c r="C214" s="1"/>
      <c r="D214" s="2"/>
    </row>
    <row r="215" spans="3:4" ht="15.75" customHeight="1">
      <c r="C215" s="1"/>
      <c r="D215" s="2"/>
    </row>
    <row r="216" spans="3:4" ht="15.75" customHeight="1">
      <c r="C216" s="1"/>
      <c r="D216" s="2"/>
    </row>
    <row r="217" spans="3:4" ht="15.75" customHeight="1">
      <c r="C217" s="1"/>
      <c r="D217" s="2"/>
    </row>
    <row r="218" spans="3:4" ht="15.75" customHeight="1">
      <c r="C218" s="1"/>
      <c r="D218" s="2"/>
    </row>
    <row r="219" spans="3:4" ht="15.75" customHeight="1">
      <c r="C219" s="1"/>
      <c r="D219" s="2"/>
    </row>
    <row r="220" spans="3:4" ht="15.75" customHeight="1">
      <c r="C220" s="1"/>
      <c r="D220" s="2"/>
    </row>
    <row r="221" spans="3:4" ht="15.75" customHeight="1">
      <c r="C221" s="1"/>
      <c r="D221" s="2"/>
    </row>
    <row r="222" spans="3:4" ht="15.75" customHeight="1">
      <c r="C222" s="1"/>
      <c r="D222" s="2"/>
    </row>
    <row r="223" spans="3:4" ht="15.75" customHeight="1">
      <c r="C223" s="1"/>
      <c r="D223" s="2"/>
    </row>
    <row r="224" spans="3:4" ht="15.75" customHeight="1">
      <c r="C224" s="1"/>
      <c r="D224" s="2"/>
    </row>
    <row r="225" spans="3:4" ht="15.75" customHeight="1">
      <c r="C225" s="1"/>
      <c r="D225" s="2"/>
    </row>
    <row r="226" spans="3:4" ht="15.75" customHeight="1">
      <c r="C226" s="1"/>
      <c r="D226" s="2"/>
    </row>
    <row r="227" spans="3:4" ht="15.75" customHeight="1">
      <c r="C227" s="1"/>
      <c r="D227" s="2"/>
    </row>
    <row r="228" spans="3:4" ht="15.75" customHeight="1">
      <c r="C228" s="1"/>
      <c r="D228" s="2"/>
    </row>
    <row r="229" spans="3:4" ht="15.75" customHeight="1">
      <c r="C229" s="1"/>
      <c r="D229" s="2"/>
    </row>
    <row r="230" spans="3:4" ht="15.75" customHeight="1">
      <c r="C230" s="1"/>
      <c r="D230" s="2"/>
    </row>
    <row r="231" spans="3:4" ht="15.75" customHeight="1">
      <c r="C231" s="1"/>
      <c r="D231" s="2"/>
    </row>
    <row r="232" spans="3:4" ht="15.75" customHeight="1">
      <c r="C232" s="1"/>
      <c r="D232" s="2"/>
    </row>
    <row r="233" spans="3:4" ht="15.75" customHeight="1">
      <c r="C233" s="1"/>
      <c r="D233" s="2"/>
    </row>
    <row r="234" spans="3:4" ht="15.75" customHeight="1">
      <c r="C234" s="1"/>
      <c r="D234" s="2"/>
    </row>
    <row r="235" spans="3:4" ht="15.75" customHeight="1">
      <c r="C235" s="1"/>
      <c r="D235" s="2"/>
    </row>
    <row r="236" spans="3:4" ht="15.75" customHeight="1">
      <c r="C236" s="1"/>
      <c r="D236" s="2"/>
    </row>
    <row r="237" spans="3:4" ht="15.75" customHeight="1">
      <c r="C237" s="1"/>
      <c r="D237" s="2"/>
    </row>
    <row r="238" spans="3:4" ht="15.75" customHeight="1">
      <c r="C238" s="1"/>
      <c r="D238" s="2"/>
    </row>
    <row r="239" spans="3:4" ht="15.75" customHeight="1">
      <c r="C239" s="1"/>
      <c r="D239" s="2"/>
    </row>
    <row r="240" spans="3:4" ht="15.75" customHeight="1">
      <c r="C240" s="1"/>
      <c r="D240" s="2"/>
    </row>
    <row r="241" spans="3:4" ht="15.75" customHeight="1">
      <c r="C241" s="1"/>
      <c r="D241" s="2"/>
    </row>
    <row r="242" spans="3:4" ht="15.75" customHeight="1">
      <c r="C242" s="1"/>
      <c r="D242" s="2"/>
    </row>
    <row r="243" spans="3:4" ht="15.75" customHeight="1">
      <c r="C243" s="1"/>
      <c r="D243" s="2"/>
    </row>
    <row r="244" spans="3:4" ht="15.75" customHeight="1">
      <c r="C244" s="1"/>
      <c r="D244" s="2"/>
    </row>
    <row r="245" spans="3:4" ht="15.75" customHeight="1">
      <c r="C245" s="1"/>
      <c r="D245" s="2"/>
    </row>
    <row r="246" spans="3:4" ht="15.75" customHeight="1">
      <c r="C246" s="1"/>
      <c r="D246" s="2"/>
    </row>
    <row r="247" spans="3:4" ht="15.75" customHeight="1">
      <c r="C247" s="1"/>
      <c r="D247" s="2"/>
    </row>
    <row r="248" spans="3:4" ht="15.75" customHeight="1">
      <c r="C248" s="1"/>
      <c r="D248" s="2"/>
    </row>
    <row r="249" spans="3:4" ht="15.75" customHeight="1">
      <c r="C249" s="1"/>
      <c r="D249" s="2"/>
    </row>
    <row r="250" spans="3:4" ht="15.75" customHeight="1">
      <c r="C250" s="1"/>
      <c r="D250" s="2"/>
    </row>
    <row r="251" spans="3:4" ht="15.75" customHeight="1">
      <c r="C251" s="1"/>
      <c r="D251" s="2"/>
    </row>
    <row r="252" spans="3:4" ht="15.75" customHeight="1">
      <c r="C252" s="1"/>
      <c r="D252" s="2"/>
    </row>
    <row r="253" spans="3:4" ht="15.75" customHeight="1">
      <c r="C253" s="1"/>
      <c r="D253" s="2"/>
    </row>
    <row r="254" spans="3:4" ht="15.75" customHeight="1">
      <c r="C254" s="1"/>
      <c r="D254" s="2"/>
    </row>
    <row r="255" spans="3:4" ht="15.75" customHeight="1">
      <c r="C255" s="1"/>
      <c r="D255" s="2"/>
    </row>
    <row r="256" spans="3:4" ht="15.75" customHeight="1">
      <c r="C256" s="1"/>
      <c r="D256" s="2"/>
    </row>
    <row r="257" spans="3:4" ht="15.75" customHeight="1">
      <c r="C257" s="1"/>
      <c r="D257" s="2"/>
    </row>
    <row r="258" spans="3:4" ht="15.75" customHeight="1">
      <c r="C258" s="1"/>
      <c r="D258" s="2"/>
    </row>
    <row r="259" spans="3:4" ht="15.75" customHeight="1">
      <c r="C259" s="1"/>
      <c r="D259" s="2"/>
    </row>
    <row r="260" spans="3:4" ht="15.75" customHeight="1">
      <c r="C260" s="1"/>
      <c r="D260" s="2"/>
    </row>
    <row r="261" spans="3:4" ht="15.75" customHeight="1">
      <c r="C261" s="1"/>
      <c r="D261" s="2"/>
    </row>
    <row r="262" spans="3:4" ht="15.75" customHeight="1">
      <c r="C262" s="1"/>
      <c r="D262" s="2"/>
    </row>
    <row r="263" spans="3:4" ht="15.75" customHeight="1">
      <c r="C263" s="1"/>
      <c r="D263" s="2"/>
    </row>
    <row r="264" spans="3:4" ht="15.75" customHeight="1">
      <c r="C264" s="1"/>
      <c r="D264" s="2"/>
    </row>
    <row r="265" spans="3:4" ht="15.75" customHeight="1">
      <c r="C265" s="1"/>
      <c r="D265" s="2"/>
    </row>
    <row r="266" spans="3:4" ht="15.75" customHeight="1">
      <c r="C266" s="1"/>
      <c r="D266" s="2"/>
    </row>
    <row r="267" spans="3:4" ht="15.75" customHeight="1">
      <c r="C267" s="1"/>
      <c r="D267" s="2"/>
    </row>
    <row r="268" spans="3:4" ht="15.75" customHeight="1">
      <c r="C268" s="1"/>
      <c r="D268" s="2"/>
    </row>
    <row r="269" spans="3:4" ht="15.75" customHeight="1">
      <c r="C269" s="1"/>
      <c r="D269" s="2"/>
    </row>
    <row r="270" spans="3:4" ht="15.75" customHeight="1">
      <c r="C270" s="1"/>
      <c r="D270" s="2"/>
    </row>
    <row r="271" spans="3:4" ht="15.75" customHeight="1">
      <c r="C271" s="1"/>
      <c r="D271" s="2"/>
    </row>
    <row r="272" spans="3:4" ht="15.75" customHeight="1">
      <c r="C272" s="1"/>
      <c r="D272" s="2"/>
    </row>
    <row r="273" spans="3:4" ht="15.75" customHeight="1">
      <c r="C273" s="1"/>
      <c r="D273" s="2"/>
    </row>
    <row r="274" spans="3:4" ht="15.75" customHeight="1">
      <c r="C274" s="1"/>
      <c r="D274" s="2"/>
    </row>
    <row r="275" spans="3:4" ht="15.75" customHeight="1">
      <c r="C275" s="1"/>
      <c r="D275" s="2"/>
    </row>
    <row r="276" spans="3:4" ht="15.75" customHeight="1">
      <c r="C276" s="1"/>
      <c r="D276" s="2"/>
    </row>
    <row r="277" spans="3:4" ht="15.75" customHeight="1">
      <c r="C277" s="1"/>
      <c r="D277" s="2"/>
    </row>
    <row r="278" spans="3:4" ht="15.75" customHeight="1">
      <c r="C278" s="1"/>
      <c r="D278" s="2"/>
    </row>
    <row r="279" spans="3:4" ht="15.75" customHeight="1">
      <c r="C279" s="1"/>
      <c r="D279" s="2"/>
    </row>
    <row r="280" spans="3:4" ht="15.75" customHeight="1">
      <c r="C280" s="1"/>
      <c r="D280" s="2"/>
    </row>
    <row r="281" spans="3:4" ht="15.75" customHeight="1">
      <c r="C281" s="1"/>
      <c r="D281" s="2"/>
    </row>
    <row r="282" spans="3:4" ht="15.75" customHeight="1">
      <c r="C282" s="1"/>
      <c r="D282" s="2"/>
    </row>
    <row r="283" spans="3:4" ht="15.75" customHeight="1">
      <c r="C283" s="1"/>
      <c r="D283" s="2"/>
    </row>
    <row r="284" spans="3:4" ht="15.75" customHeight="1">
      <c r="C284" s="1"/>
      <c r="D284" s="2"/>
    </row>
    <row r="285" spans="3:4" ht="15.75" customHeight="1">
      <c r="C285" s="1"/>
      <c r="D285" s="2"/>
    </row>
    <row r="286" spans="3:4" ht="15.75" customHeight="1">
      <c r="C286" s="1"/>
      <c r="D286" s="2"/>
    </row>
    <row r="287" spans="3:4" ht="15.75" customHeight="1">
      <c r="C287" s="1"/>
      <c r="D287" s="2"/>
    </row>
    <row r="288" spans="3:4" ht="15.75" customHeight="1">
      <c r="C288" s="1"/>
      <c r="D288" s="2"/>
    </row>
    <row r="289" spans="3:4" ht="15.75" customHeight="1">
      <c r="C289" s="1"/>
      <c r="D289" s="2"/>
    </row>
    <row r="290" spans="3:4" ht="15.75" customHeight="1">
      <c r="C290" s="1"/>
      <c r="D290" s="2"/>
    </row>
    <row r="291" spans="3:4" ht="15.75" customHeight="1">
      <c r="C291" s="1"/>
      <c r="D291" s="2"/>
    </row>
    <row r="292" spans="3:4" ht="15.75" customHeight="1">
      <c r="C292" s="1"/>
      <c r="D292" s="2"/>
    </row>
    <row r="293" spans="3:4" ht="15.75" customHeight="1">
      <c r="C293" s="1"/>
      <c r="D293" s="2"/>
    </row>
    <row r="294" spans="3:4" ht="15.75" customHeight="1">
      <c r="C294" s="1"/>
      <c r="D294" s="2"/>
    </row>
    <row r="295" spans="3:4" ht="15.75" customHeight="1">
      <c r="C295" s="1"/>
      <c r="D295" s="2"/>
    </row>
    <row r="296" spans="3:4" ht="15.75" customHeight="1">
      <c r="C296" s="1"/>
      <c r="D296" s="2"/>
    </row>
    <row r="297" spans="3:4" ht="15.75" customHeight="1">
      <c r="C297" s="1"/>
      <c r="D297" s="2"/>
    </row>
    <row r="298" spans="3:4" ht="15.75" customHeight="1">
      <c r="C298" s="1"/>
      <c r="D298" s="2"/>
    </row>
    <row r="299" spans="3:4" ht="15.75" customHeight="1">
      <c r="C299" s="1"/>
      <c r="D299" s="2"/>
    </row>
    <row r="300" spans="3:4" ht="15.75" customHeight="1">
      <c r="C300" s="1"/>
      <c r="D300" s="2"/>
    </row>
    <row r="301" spans="3:4" ht="15.75" customHeight="1">
      <c r="C301" s="1"/>
      <c r="D301" s="2"/>
    </row>
    <row r="302" spans="3:4" ht="15.75" customHeight="1">
      <c r="C302" s="1"/>
      <c r="D302" s="2"/>
    </row>
    <row r="303" spans="3:4" ht="15.75" customHeight="1">
      <c r="C303" s="1"/>
      <c r="D303" s="2"/>
    </row>
    <row r="304" spans="3:4" ht="15.75" customHeight="1">
      <c r="C304" s="1"/>
      <c r="D304" s="2"/>
    </row>
    <row r="305" spans="3:4" ht="15.75" customHeight="1">
      <c r="C305" s="1"/>
      <c r="D305" s="2"/>
    </row>
    <row r="306" spans="3:4" ht="15.75" customHeight="1">
      <c r="C306" s="1"/>
      <c r="D306" s="2"/>
    </row>
    <row r="307" spans="3:4" ht="15.75" customHeight="1">
      <c r="C307" s="1"/>
      <c r="D307" s="2"/>
    </row>
    <row r="308" spans="3:4" ht="15.75" customHeight="1">
      <c r="C308" s="1"/>
      <c r="D308" s="2"/>
    </row>
    <row r="309" spans="3:4" ht="15.75" customHeight="1">
      <c r="C309" s="1"/>
      <c r="D309" s="2"/>
    </row>
    <row r="310" spans="3:4" ht="15.75" customHeight="1">
      <c r="C310" s="1"/>
      <c r="D310" s="2"/>
    </row>
    <row r="311" spans="3:4" ht="15.75" customHeight="1">
      <c r="C311" s="1"/>
      <c r="D311" s="2"/>
    </row>
    <row r="312" spans="3:4" ht="15.75" customHeight="1">
      <c r="C312" s="1"/>
      <c r="D312" s="2"/>
    </row>
    <row r="313" spans="3:4" ht="15.75" customHeight="1">
      <c r="C313" s="1"/>
      <c r="D313" s="2"/>
    </row>
    <row r="314" spans="3:4" ht="15.75" customHeight="1">
      <c r="C314" s="1"/>
      <c r="D314" s="2"/>
    </row>
    <row r="315" spans="3:4" ht="15.75" customHeight="1">
      <c r="C315" s="1"/>
      <c r="D315" s="2"/>
    </row>
    <row r="316" spans="3:4" ht="15.75" customHeight="1">
      <c r="C316" s="1"/>
      <c r="D316" s="2"/>
    </row>
    <row r="317" spans="3:4" ht="15.75" customHeight="1">
      <c r="C317" s="1"/>
      <c r="D317" s="2"/>
    </row>
    <row r="318" spans="3:4" ht="15.75" customHeight="1">
      <c r="C318" s="1"/>
      <c r="D318" s="2"/>
    </row>
    <row r="319" spans="3:4" ht="15.75" customHeight="1">
      <c r="C319" s="1"/>
      <c r="D319" s="2"/>
    </row>
    <row r="320" spans="3:4" ht="15.75" customHeight="1">
      <c r="C320" s="1"/>
      <c r="D320" s="2"/>
    </row>
    <row r="321" spans="3:4" ht="15.75" customHeight="1">
      <c r="C321" s="1"/>
      <c r="D321" s="2"/>
    </row>
    <row r="322" spans="3:4" ht="15.75" customHeight="1">
      <c r="C322" s="1"/>
      <c r="D322" s="2"/>
    </row>
    <row r="323" spans="3:4" ht="15.75" customHeight="1">
      <c r="C323" s="1"/>
      <c r="D323" s="2"/>
    </row>
    <row r="324" spans="3:4" ht="15.75" customHeight="1">
      <c r="C324" s="1"/>
      <c r="D324" s="2"/>
    </row>
    <row r="325" spans="3:4" ht="15.75" customHeight="1">
      <c r="C325" s="1"/>
      <c r="D325" s="2"/>
    </row>
    <row r="326" spans="3:4" ht="15.75" customHeight="1">
      <c r="C326" s="1"/>
      <c r="D326" s="2"/>
    </row>
    <row r="327" spans="3:4" ht="15.75" customHeight="1">
      <c r="C327" s="1"/>
      <c r="D327" s="2"/>
    </row>
    <row r="328" spans="3:4" ht="15.75" customHeight="1">
      <c r="C328" s="1"/>
      <c r="D328" s="2"/>
    </row>
    <row r="329" spans="3:4" ht="15.75" customHeight="1">
      <c r="C329" s="1"/>
      <c r="D329" s="2"/>
    </row>
    <row r="330" spans="3:4" ht="15.75" customHeight="1">
      <c r="C330" s="1"/>
      <c r="D330" s="2"/>
    </row>
    <row r="331" spans="3:4" ht="15.75" customHeight="1">
      <c r="C331" s="1"/>
      <c r="D331" s="2"/>
    </row>
    <row r="332" spans="3:4" ht="15.75" customHeight="1">
      <c r="C332" s="1"/>
      <c r="D332" s="2"/>
    </row>
    <row r="333" spans="3:4" ht="15.75" customHeight="1">
      <c r="C333" s="1"/>
      <c r="D333" s="2"/>
    </row>
    <row r="334" spans="3:4" ht="15.75" customHeight="1">
      <c r="C334" s="1"/>
      <c r="D334" s="2"/>
    </row>
    <row r="335" spans="3:4" ht="15.75" customHeight="1">
      <c r="C335" s="1"/>
      <c r="D335" s="2"/>
    </row>
    <row r="336" spans="3:4" ht="15.75" customHeight="1">
      <c r="C336" s="1"/>
      <c r="D336" s="2"/>
    </row>
    <row r="337" spans="3:4" ht="15.75" customHeight="1">
      <c r="C337" s="1"/>
      <c r="D337" s="2"/>
    </row>
    <row r="338" spans="3:4" ht="15.75" customHeight="1">
      <c r="C338" s="1"/>
      <c r="D338" s="2"/>
    </row>
    <row r="339" spans="3:4" ht="15.75" customHeight="1">
      <c r="C339" s="1"/>
      <c r="D339" s="2"/>
    </row>
    <row r="340" spans="3:4" ht="15.75" customHeight="1">
      <c r="C340" s="1"/>
      <c r="D340" s="2"/>
    </row>
    <row r="341" spans="3:4" ht="15.75" customHeight="1">
      <c r="C341" s="1"/>
      <c r="D341" s="2"/>
    </row>
    <row r="342" spans="3:4" ht="15.75" customHeight="1">
      <c r="C342" s="1"/>
      <c r="D342" s="2"/>
    </row>
    <row r="343" spans="3:4" ht="15.75" customHeight="1">
      <c r="C343" s="1"/>
      <c r="D343" s="2"/>
    </row>
    <row r="344" spans="3:4" ht="15.75" customHeight="1">
      <c r="C344" s="1"/>
      <c r="D344" s="2"/>
    </row>
    <row r="345" spans="3:4" ht="15.75" customHeight="1">
      <c r="C345" s="1"/>
      <c r="D345" s="2"/>
    </row>
    <row r="346" spans="3:4" ht="15.75" customHeight="1">
      <c r="C346" s="1"/>
      <c r="D346" s="2"/>
    </row>
    <row r="347" spans="3:4" ht="15.75" customHeight="1">
      <c r="C347" s="1"/>
      <c r="D347" s="2"/>
    </row>
    <row r="348" spans="3:4" ht="15.75" customHeight="1">
      <c r="C348" s="1"/>
      <c r="D348" s="2"/>
    </row>
    <row r="349" spans="3:4" ht="15.75" customHeight="1">
      <c r="C349" s="1"/>
      <c r="D349" s="2"/>
    </row>
    <row r="350" spans="3:4" ht="15.75" customHeight="1">
      <c r="C350" s="1"/>
      <c r="D350" s="2"/>
    </row>
    <row r="351" spans="3:4" ht="15.75" customHeight="1">
      <c r="C351" s="1"/>
      <c r="D351" s="2"/>
    </row>
    <row r="352" spans="3:4" ht="15.75" customHeight="1">
      <c r="C352" s="1"/>
      <c r="D352" s="2"/>
    </row>
    <row r="353" spans="3:4" ht="15.75" customHeight="1">
      <c r="C353" s="1"/>
      <c r="D353" s="2"/>
    </row>
    <row r="354" spans="3:4" ht="15.75" customHeight="1">
      <c r="C354" s="1"/>
      <c r="D354" s="2"/>
    </row>
    <row r="355" spans="3:4" ht="15.75" customHeight="1">
      <c r="C355" s="1"/>
      <c r="D355" s="2"/>
    </row>
    <row r="356" spans="3:4" ht="15.75" customHeight="1">
      <c r="C356" s="1"/>
      <c r="D356" s="2"/>
    </row>
    <row r="357" spans="3:4" ht="15.75" customHeight="1">
      <c r="C357" s="1"/>
      <c r="D357" s="2"/>
    </row>
    <row r="358" spans="3:4" ht="15.75" customHeight="1">
      <c r="C358" s="1"/>
      <c r="D358" s="2"/>
    </row>
    <row r="359" spans="3:4" ht="15.75" customHeight="1">
      <c r="C359" s="1"/>
      <c r="D359" s="2"/>
    </row>
    <row r="360" spans="3:4" ht="15.75" customHeight="1">
      <c r="C360" s="1"/>
      <c r="D360" s="2"/>
    </row>
    <row r="361" spans="3:4" ht="15.75" customHeight="1">
      <c r="C361" s="1"/>
      <c r="D361" s="2"/>
    </row>
    <row r="362" spans="3:4" ht="15.75" customHeight="1">
      <c r="C362" s="1"/>
      <c r="D362" s="2"/>
    </row>
    <row r="363" spans="3:4" ht="15.75" customHeight="1">
      <c r="C363" s="1"/>
      <c r="D363" s="2"/>
    </row>
    <row r="364" spans="3:4" ht="15.75" customHeight="1">
      <c r="C364" s="1"/>
      <c r="D364" s="2"/>
    </row>
    <row r="365" spans="3:4" ht="15.75" customHeight="1">
      <c r="C365" s="1"/>
      <c r="D365" s="2"/>
    </row>
    <row r="366" spans="3:4" ht="15.75" customHeight="1">
      <c r="C366" s="1"/>
      <c r="D366" s="2"/>
    </row>
    <row r="367" spans="3:4" ht="15.75" customHeight="1">
      <c r="C367" s="1"/>
      <c r="D367" s="2"/>
    </row>
    <row r="368" spans="3:4" ht="15.75" customHeight="1">
      <c r="C368" s="1"/>
      <c r="D368" s="2"/>
    </row>
    <row r="369" spans="3:4" ht="15.75" customHeight="1">
      <c r="C369" s="1"/>
      <c r="D369" s="2"/>
    </row>
    <row r="370" spans="3:4" ht="15.75" customHeight="1">
      <c r="C370" s="1"/>
      <c r="D370" s="2"/>
    </row>
    <row r="371" spans="3:4" ht="15.75" customHeight="1">
      <c r="C371" s="1"/>
      <c r="D371" s="2"/>
    </row>
    <row r="372" spans="3:4" ht="15.75" customHeight="1">
      <c r="C372" s="1"/>
      <c r="D372" s="2"/>
    </row>
    <row r="373" spans="3:4" ht="15.75" customHeight="1">
      <c r="C373" s="1"/>
      <c r="D373" s="2"/>
    </row>
    <row r="374" spans="3:4" ht="15.75" customHeight="1">
      <c r="C374" s="1"/>
      <c r="D374" s="2"/>
    </row>
    <row r="375" spans="3:4" ht="15.75" customHeight="1">
      <c r="C375" s="1"/>
      <c r="D375" s="2"/>
    </row>
    <row r="376" spans="3:4" ht="15.75" customHeight="1">
      <c r="C376" s="1"/>
      <c r="D376" s="2"/>
    </row>
    <row r="377" spans="3:4" ht="15.75" customHeight="1">
      <c r="C377" s="1"/>
      <c r="D377" s="2"/>
    </row>
    <row r="378" spans="3:4" ht="15.75" customHeight="1">
      <c r="C378" s="1"/>
      <c r="D378" s="2"/>
    </row>
    <row r="379" spans="3:4" ht="15.75" customHeight="1">
      <c r="C379" s="1"/>
      <c r="D379" s="2"/>
    </row>
    <row r="380" spans="3:4" ht="15.75" customHeight="1">
      <c r="C380" s="1"/>
      <c r="D380" s="2"/>
    </row>
    <row r="381" spans="3:4" ht="15.75" customHeight="1">
      <c r="C381" s="1"/>
      <c r="D381" s="2"/>
    </row>
    <row r="382" spans="3:4" ht="15.75" customHeight="1">
      <c r="C382" s="1"/>
      <c r="D382" s="2"/>
    </row>
    <row r="383" spans="3:4" ht="15.75" customHeight="1">
      <c r="C383" s="1"/>
      <c r="D383" s="2"/>
    </row>
    <row r="384" spans="3:4" ht="15.75" customHeight="1">
      <c r="C384" s="1"/>
      <c r="D384" s="2"/>
    </row>
    <row r="385" spans="3:4" ht="15.75" customHeight="1">
      <c r="C385" s="1"/>
      <c r="D385" s="2"/>
    </row>
    <row r="386" spans="3:4" ht="15.75" customHeight="1">
      <c r="C386" s="1"/>
      <c r="D386" s="2"/>
    </row>
    <row r="387" spans="3:4" ht="15.75" customHeight="1">
      <c r="C387" s="1"/>
      <c r="D387" s="2"/>
    </row>
    <row r="388" spans="3:4" ht="15.75" customHeight="1">
      <c r="C388" s="1"/>
      <c r="D388" s="2"/>
    </row>
    <row r="389" spans="3:4" ht="15.75" customHeight="1">
      <c r="C389" s="1"/>
      <c r="D389" s="2"/>
    </row>
    <row r="390" spans="3:4" ht="15.75" customHeight="1">
      <c r="C390" s="1"/>
      <c r="D390" s="2"/>
    </row>
    <row r="391" spans="3:4" ht="15.75" customHeight="1">
      <c r="C391" s="1"/>
      <c r="D391" s="2"/>
    </row>
    <row r="392" spans="3:4" ht="15.75" customHeight="1">
      <c r="C392" s="1"/>
      <c r="D392" s="2"/>
    </row>
    <row r="393" spans="3:4" ht="15.75" customHeight="1">
      <c r="C393" s="1"/>
      <c r="D393" s="2"/>
    </row>
    <row r="394" spans="3:4" ht="15.75" customHeight="1">
      <c r="C394" s="1"/>
      <c r="D394" s="2"/>
    </row>
    <row r="395" spans="3:4" ht="15.75" customHeight="1">
      <c r="C395" s="1"/>
      <c r="D395" s="2"/>
    </row>
    <row r="396" spans="3:4" ht="15.75" customHeight="1">
      <c r="C396" s="1"/>
      <c r="D396" s="2"/>
    </row>
    <row r="397" spans="3:4" ht="15.75" customHeight="1">
      <c r="C397" s="1"/>
      <c r="D397" s="2"/>
    </row>
    <row r="398" spans="3:4" ht="15.75" customHeight="1">
      <c r="C398" s="1"/>
      <c r="D398" s="2"/>
    </row>
    <row r="399" spans="3:4" ht="15.75" customHeight="1">
      <c r="C399" s="1"/>
      <c r="D399" s="2"/>
    </row>
    <row r="400" spans="3:4" ht="15.75" customHeight="1">
      <c r="C400" s="1"/>
      <c r="D400" s="2"/>
    </row>
    <row r="401" spans="3:4" ht="15.75" customHeight="1">
      <c r="C401" s="1"/>
      <c r="D401" s="2"/>
    </row>
    <row r="402" spans="3:4" ht="15.75" customHeight="1">
      <c r="C402" s="1"/>
      <c r="D402" s="2"/>
    </row>
    <row r="403" spans="3:4" ht="15.75" customHeight="1">
      <c r="C403" s="1"/>
      <c r="D403" s="2"/>
    </row>
    <row r="404" spans="3:4" ht="15.75" customHeight="1">
      <c r="C404" s="1"/>
      <c r="D404" s="2"/>
    </row>
    <row r="405" spans="3:4" ht="15.75" customHeight="1">
      <c r="C405" s="1"/>
      <c r="D405" s="2"/>
    </row>
    <row r="406" spans="3:4" ht="15.75" customHeight="1">
      <c r="C406" s="1"/>
      <c r="D406" s="2"/>
    </row>
    <row r="407" spans="3:4" ht="15.75" customHeight="1">
      <c r="C407" s="1"/>
      <c r="D407" s="2"/>
    </row>
    <row r="408" spans="3:4" ht="15.75" customHeight="1">
      <c r="C408" s="1"/>
      <c r="D408" s="2"/>
    </row>
    <row r="409" spans="3:4" ht="15.75" customHeight="1">
      <c r="C409" s="1"/>
      <c r="D409" s="2"/>
    </row>
    <row r="410" spans="3:4" ht="15.75" customHeight="1">
      <c r="C410" s="1"/>
      <c r="D410" s="2"/>
    </row>
    <row r="411" spans="3:4" ht="15.75" customHeight="1">
      <c r="C411" s="1"/>
      <c r="D411" s="2"/>
    </row>
    <row r="412" spans="3:4" ht="15.75" customHeight="1">
      <c r="C412" s="1"/>
      <c r="D412" s="2"/>
    </row>
    <row r="413" spans="3:4" ht="15.75" customHeight="1">
      <c r="C413" s="1"/>
      <c r="D413" s="2"/>
    </row>
    <row r="414" spans="3:4" ht="15.75" customHeight="1">
      <c r="C414" s="1"/>
      <c r="D414" s="2"/>
    </row>
    <row r="415" spans="3:4" ht="15.75" customHeight="1">
      <c r="C415" s="1"/>
      <c r="D415" s="2"/>
    </row>
    <row r="416" spans="3:4" ht="15.75" customHeight="1">
      <c r="C416" s="1"/>
      <c r="D416" s="2"/>
    </row>
    <row r="417" spans="3:4" ht="15.75" customHeight="1">
      <c r="C417" s="1"/>
      <c r="D417" s="2"/>
    </row>
    <row r="418" spans="3:4" ht="15.75" customHeight="1">
      <c r="C418" s="1"/>
      <c r="D418" s="2"/>
    </row>
    <row r="419" spans="3:4" ht="15.75" customHeight="1">
      <c r="C419" s="1"/>
      <c r="D419" s="2"/>
    </row>
    <row r="420" spans="3:4" ht="15.75" customHeight="1">
      <c r="C420" s="1"/>
      <c r="D420" s="2"/>
    </row>
    <row r="421" spans="3:4" ht="15.75" customHeight="1">
      <c r="C421" s="1"/>
      <c r="D421" s="2"/>
    </row>
    <row r="422" spans="3:4" ht="15.75" customHeight="1">
      <c r="C422" s="1"/>
      <c r="D422" s="2"/>
    </row>
    <row r="423" spans="3:4" ht="15.75" customHeight="1">
      <c r="C423" s="1"/>
      <c r="D423" s="2"/>
    </row>
    <row r="424" spans="3:4" ht="15.75" customHeight="1">
      <c r="C424" s="1"/>
      <c r="D424" s="2"/>
    </row>
    <row r="425" spans="3:4" ht="15.75" customHeight="1">
      <c r="C425" s="1"/>
      <c r="D425" s="2"/>
    </row>
    <row r="426" spans="3:4" ht="15.75" customHeight="1">
      <c r="C426" s="1"/>
      <c r="D426" s="2"/>
    </row>
    <row r="427" spans="3:4" ht="15.75" customHeight="1">
      <c r="C427" s="1"/>
      <c r="D427" s="2"/>
    </row>
    <row r="428" spans="3:4" ht="15.75" customHeight="1">
      <c r="C428" s="1"/>
      <c r="D428" s="2"/>
    </row>
    <row r="429" spans="3:4" ht="15.75" customHeight="1">
      <c r="C429" s="1"/>
      <c r="D429" s="2"/>
    </row>
    <row r="430" spans="3:4" ht="15.75" customHeight="1">
      <c r="C430" s="1"/>
      <c r="D430" s="2"/>
    </row>
    <row r="431" spans="3:4" ht="15.75" customHeight="1">
      <c r="C431" s="1"/>
      <c r="D431" s="2"/>
    </row>
    <row r="432" spans="3:4" ht="15.75" customHeight="1">
      <c r="C432" s="1"/>
      <c r="D432" s="2"/>
    </row>
    <row r="433" spans="3:4" ht="15.75" customHeight="1">
      <c r="C433" s="1"/>
      <c r="D433" s="2"/>
    </row>
    <row r="434" spans="3:4" ht="15.75" customHeight="1">
      <c r="C434" s="1"/>
      <c r="D434" s="2"/>
    </row>
    <row r="435" spans="3:4" ht="15.75" customHeight="1">
      <c r="C435" s="1"/>
      <c r="D435" s="2"/>
    </row>
    <row r="436" spans="3:4" ht="15.75" customHeight="1">
      <c r="C436" s="1"/>
      <c r="D436" s="2"/>
    </row>
    <row r="437" spans="3:4" ht="15.75" customHeight="1">
      <c r="C437" s="1"/>
      <c r="D437" s="2"/>
    </row>
    <row r="438" spans="3:4" ht="15.75" customHeight="1">
      <c r="C438" s="1"/>
      <c r="D438" s="2"/>
    </row>
    <row r="439" spans="3:4" ht="15.75" customHeight="1">
      <c r="C439" s="1"/>
      <c r="D439" s="2"/>
    </row>
    <row r="440" spans="3:4" ht="15.75" customHeight="1">
      <c r="C440" s="1"/>
      <c r="D440" s="2"/>
    </row>
    <row r="441" spans="3:4" ht="15.75" customHeight="1">
      <c r="C441" s="1"/>
      <c r="D441" s="2"/>
    </row>
    <row r="442" spans="3:4" ht="15.75" customHeight="1">
      <c r="C442" s="1"/>
      <c r="D442" s="2"/>
    </row>
    <row r="443" spans="3:4" ht="15.75" customHeight="1">
      <c r="C443" s="1"/>
      <c r="D443" s="2"/>
    </row>
    <row r="444" spans="3:4" ht="15.75" customHeight="1">
      <c r="C444" s="1"/>
      <c r="D444" s="2"/>
    </row>
    <row r="445" spans="3:4" ht="15.75" customHeight="1">
      <c r="C445" s="1"/>
      <c r="D445" s="2"/>
    </row>
    <row r="446" spans="3:4" ht="15.75" customHeight="1">
      <c r="C446" s="1"/>
      <c r="D446" s="2"/>
    </row>
    <row r="447" spans="3:4" ht="15.75" customHeight="1">
      <c r="C447" s="1"/>
      <c r="D447" s="2"/>
    </row>
    <row r="448" spans="3:4" ht="15.75" customHeight="1">
      <c r="C448" s="1"/>
      <c r="D448" s="2"/>
    </row>
    <row r="449" spans="3:4" ht="15.75" customHeight="1">
      <c r="C449" s="1"/>
      <c r="D449" s="2"/>
    </row>
    <row r="450" spans="3:4" ht="15.75" customHeight="1">
      <c r="C450" s="1"/>
      <c r="D450" s="2"/>
    </row>
    <row r="451" spans="3:4" ht="15.75" customHeight="1">
      <c r="C451" s="1"/>
      <c r="D451" s="2"/>
    </row>
    <row r="452" spans="3:4" ht="15.75" customHeight="1">
      <c r="C452" s="1"/>
      <c r="D452" s="2"/>
    </row>
    <row r="453" spans="3:4" ht="15.75" customHeight="1">
      <c r="C453" s="1"/>
      <c r="D453" s="2"/>
    </row>
    <row r="454" spans="3:4" ht="15.75" customHeight="1">
      <c r="C454" s="1"/>
      <c r="D454" s="2"/>
    </row>
    <row r="455" spans="3:4" ht="15.75" customHeight="1">
      <c r="C455" s="1"/>
      <c r="D455" s="2"/>
    </row>
    <row r="456" spans="3:4" ht="15.75" customHeight="1">
      <c r="C456" s="1"/>
      <c r="D456" s="2"/>
    </row>
    <row r="457" spans="3:4" ht="15.75" customHeight="1">
      <c r="C457" s="1"/>
      <c r="D457" s="2"/>
    </row>
    <row r="458" spans="3:4" ht="15.75" customHeight="1">
      <c r="C458" s="1"/>
      <c r="D458" s="2"/>
    </row>
    <row r="459" spans="3:4" ht="15.75" customHeight="1">
      <c r="C459" s="1"/>
      <c r="D459" s="2"/>
    </row>
    <row r="460" spans="3:4" ht="15.75" customHeight="1">
      <c r="C460" s="1"/>
      <c r="D460" s="2"/>
    </row>
    <row r="461" spans="3:4" ht="15.75" customHeight="1">
      <c r="C461" s="1"/>
      <c r="D461" s="2"/>
    </row>
    <row r="462" spans="3:4" ht="15.75" customHeight="1">
      <c r="C462" s="1"/>
      <c r="D462" s="2"/>
    </row>
    <row r="463" spans="3:4" ht="15.75" customHeight="1">
      <c r="C463" s="1"/>
      <c r="D463" s="2"/>
    </row>
    <row r="464" spans="3:4" ht="15.75" customHeight="1">
      <c r="C464" s="1"/>
      <c r="D464" s="2"/>
    </row>
    <row r="465" spans="3:4" ht="15.75" customHeight="1">
      <c r="C465" s="1"/>
      <c r="D465" s="2"/>
    </row>
    <row r="466" spans="3:4" ht="15.75" customHeight="1">
      <c r="C466" s="1"/>
      <c r="D466" s="2"/>
    </row>
    <row r="467" spans="3:4" ht="15.75" customHeight="1">
      <c r="C467" s="1"/>
      <c r="D467" s="2"/>
    </row>
    <row r="468" spans="3:4" ht="15.75" customHeight="1">
      <c r="C468" s="1"/>
      <c r="D468" s="2"/>
    </row>
    <row r="469" spans="3:4" ht="15.75" customHeight="1">
      <c r="C469" s="1"/>
      <c r="D469" s="2"/>
    </row>
    <row r="470" spans="3:4" ht="15.75" customHeight="1">
      <c r="C470" s="1"/>
      <c r="D470" s="2"/>
    </row>
    <row r="471" spans="3:4" ht="15.75" customHeight="1">
      <c r="C471" s="1"/>
      <c r="D471" s="2"/>
    </row>
    <row r="472" spans="3:4" ht="15.75" customHeight="1">
      <c r="C472" s="1"/>
      <c r="D472" s="2"/>
    </row>
    <row r="473" spans="3:4" ht="15.75" customHeight="1">
      <c r="C473" s="1"/>
      <c r="D473" s="2"/>
    </row>
    <row r="474" spans="3:4" ht="15.75" customHeight="1">
      <c r="C474" s="1"/>
      <c r="D474" s="2"/>
    </row>
    <row r="475" spans="3:4" ht="15.75" customHeight="1">
      <c r="C475" s="1"/>
      <c r="D475" s="2"/>
    </row>
    <row r="476" spans="3:4" ht="15.75" customHeight="1">
      <c r="C476" s="1"/>
      <c r="D476" s="2"/>
    </row>
    <row r="477" spans="3:4" ht="15.75" customHeight="1">
      <c r="C477" s="1"/>
      <c r="D477" s="2"/>
    </row>
    <row r="478" spans="3:4" ht="15.75" customHeight="1">
      <c r="C478" s="1"/>
      <c r="D478" s="2"/>
    </row>
    <row r="479" spans="3:4" ht="15.75" customHeight="1">
      <c r="C479" s="1"/>
      <c r="D479" s="2"/>
    </row>
    <row r="480" spans="3:4" ht="15.75" customHeight="1">
      <c r="C480" s="1"/>
      <c r="D480" s="2"/>
    </row>
    <row r="481" spans="3:4" ht="15.75" customHeight="1">
      <c r="C481" s="1"/>
      <c r="D481" s="2"/>
    </row>
    <row r="482" spans="3:4" ht="15.75" customHeight="1">
      <c r="C482" s="1"/>
      <c r="D482" s="2"/>
    </row>
    <row r="483" spans="3:4" ht="15.75" customHeight="1">
      <c r="C483" s="1"/>
      <c r="D483" s="2"/>
    </row>
    <row r="484" spans="3:4" ht="15.75" customHeight="1">
      <c r="C484" s="1"/>
      <c r="D484" s="2"/>
    </row>
    <row r="485" spans="3:4" ht="15.75" customHeight="1">
      <c r="C485" s="1"/>
      <c r="D485" s="2"/>
    </row>
    <row r="486" spans="3:4" ht="15.75" customHeight="1">
      <c r="C486" s="1"/>
      <c r="D486" s="2"/>
    </row>
    <row r="487" spans="3:4" ht="15.75" customHeight="1">
      <c r="C487" s="1"/>
      <c r="D487" s="2"/>
    </row>
    <row r="488" spans="3:4" ht="15.75" customHeight="1">
      <c r="C488" s="1"/>
      <c r="D488" s="2"/>
    </row>
    <row r="489" spans="3:4" ht="15.75" customHeight="1">
      <c r="C489" s="1"/>
      <c r="D489" s="2"/>
    </row>
    <row r="490" spans="3:4" ht="15.75" customHeight="1">
      <c r="C490" s="1"/>
      <c r="D490" s="2"/>
    </row>
    <row r="491" spans="3:4" ht="15.75" customHeight="1">
      <c r="C491" s="1"/>
      <c r="D491" s="2"/>
    </row>
    <row r="492" spans="3:4" ht="15.75" customHeight="1">
      <c r="C492" s="1"/>
      <c r="D492" s="2"/>
    </row>
    <row r="493" spans="3:4" ht="15.75" customHeight="1">
      <c r="C493" s="1"/>
      <c r="D493" s="2"/>
    </row>
    <row r="494" spans="3:4" ht="15.75" customHeight="1">
      <c r="C494" s="1"/>
      <c r="D494" s="2"/>
    </row>
    <row r="495" spans="3:4" ht="15.75" customHeight="1">
      <c r="C495" s="1"/>
      <c r="D495" s="2"/>
    </row>
    <row r="496" spans="3:4" ht="15.75" customHeight="1">
      <c r="C496" s="1"/>
      <c r="D496" s="2"/>
    </row>
    <row r="497" spans="3:4" ht="15.75" customHeight="1">
      <c r="C497" s="1"/>
      <c r="D497" s="2"/>
    </row>
    <row r="498" spans="3:4" ht="15.75" customHeight="1">
      <c r="C498" s="1"/>
      <c r="D498" s="2"/>
    </row>
    <row r="499" spans="3:4" ht="15.75" customHeight="1">
      <c r="C499" s="1"/>
      <c r="D499" s="2"/>
    </row>
    <row r="500" spans="3:4" ht="15.75" customHeight="1">
      <c r="C500" s="1"/>
      <c r="D500" s="2"/>
    </row>
    <row r="501" spans="3:4" ht="15.75" customHeight="1">
      <c r="C501" s="1"/>
      <c r="D501" s="2"/>
    </row>
    <row r="502" spans="3:4" ht="15.75" customHeight="1">
      <c r="C502" s="1"/>
      <c r="D502" s="2"/>
    </row>
    <row r="503" spans="3:4" ht="15.75" customHeight="1">
      <c r="C503" s="1"/>
      <c r="D503" s="2"/>
    </row>
    <row r="504" spans="3:4" ht="15.75" customHeight="1">
      <c r="C504" s="1"/>
      <c r="D504" s="2"/>
    </row>
    <row r="505" spans="3:4" ht="15.75" customHeight="1">
      <c r="C505" s="1"/>
      <c r="D505" s="2"/>
    </row>
    <row r="506" spans="3:4" ht="15.75" customHeight="1">
      <c r="C506" s="1"/>
      <c r="D506" s="2"/>
    </row>
    <row r="507" spans="3:4" ht="15.75" customHeight="1">
      <c r="C507" s="1"/>
      <c r="D507" s="2"/>
    </row>
    <row r="508" spans="3:4" ht="15.75" customHeight="1">
      <c r="C508" s="1"/>
      <c r="D508" s="2"/>
    </row>
    <row r="509" spans="3:4" ht="15.75" customHeight="1">
      <c r="C509" s="1"/>
      <c r="D509" s="2"/>
    </row>
    <row r="510" spans="3:4" ht="15.75" customHeight="1">
      <c r="C510" s="1"/>
      <c r="D510" s="2"/>
    </row>
    <row r="511" spans="3:4" ht="15.75" customHeight="1">
      <c r="C511" s="1"/>
      <c r="D511" s="2"/>
    </row>
    <row r="512" spans="3:4" ht="15.75" customHeight="1">
      <c r="C512" s="1"/>
      <c r="D512" s="2"/>
    </row>
    <row r="513" spans="3:4" ht="15.75" customHeight="1">
      <c r="C513" s="1"/>
      <c r="D513" s="2"/>
    </row>
    <row r="514" spans="3:4" ht="15.75" customHeight="1">
      <c r="C514" s="1"/>
      <c r="D514" s="2"/>
    </row>
    <row r="515" spans="3:4" ht="15.75" customHeight="1">
      <c r="C515" s="1"/>
      <c r="D515" s="2"/>
    </row>
    <row r="516" spans="3:4" ht="15.75" customHeight="1">
      <c r="C516" s="1"/>
      <c r="D516" s="2"/>
    </row>
    <row r="517" spans="3:4" ht="15.75" customHeight="1">
      <c r="C517" s="1"/>
      <c r="D517" s="2"/>
    </row>
    <row r="518" spans="3:4" ht="15.75" customHeight="1">
      <c r="C518" s="1"/>
      <c r="D518" s="2"/>
    </row>
    <row r="519" spans="3:4" ht="15.75" customHeight="1">
      <c r="C519" s="1"/>
      <c r="D519" s="2"/>
    </row>
    <row r="520" spans="3:4" ht="15.75" customHeight="1">
      <c r="C520" s="1"/>
      <c r="D520" s="2"/>
    </row>
    <row r="521" spans="3:4" ht="15.75" customHeight="1">
      <c r="C521" s="1"/>
      <c r="D521" s="2"/>
    </row>
    <row r="522" spans="3:4" ht="15.75" customHeight="1">
      <c r="C522" s="1"/>
      <c r="D522" s="2"/>
    </row>
    <row r="523" spans="3:4" ht="15.75" customHeight="1">
      <c r="C523" s="1"/>
      <c r="D523" s="2"/>
    </row>
    <row r="524" spans="3:4" ht="15.75" customHeight="1">
      <c r="C524" s="1"/>
      <c r="D524" s="2"/>
    </row>
    <row r="525" spans="3:4" ht="15.75" customHeight="1">
      <c r="C525" s="1"/>
      <c r="D525" s="2"/>
    </row>
    <row r="526" spans="3:4" ht="15.75" customHeight="1">
      <c r="C526" s="1"/>
      <c r="D526" s="2"/>
    </row>
    <row r="527" spans="3:4" ht="15.75" customHeight="1">
      <c r="C527" s="1"/>
      <c r="D527" s="2"/>
    </row>
    <row r="528" spans="3:4" ht="15.75" customHeight="1">
      <c r="C528" s="1"/>
      <c r="D528" s="2"/>
    </row>
    <row r="529" spans="3:4" ht="15.75" customHeight="1">
      <c r="C529" s="1"/>
      <c r="D529" s="2"/>
    </row>
    <row r="530" spans="3:4" ht="15.75" customHeight="1">
      <c r="C530" s="1"/>
      <c r="D530" s="2"/>
    </row>
    <row r="531" spans="3:4" ht="15.75" customHeight="1">
      <c r="C531" s="1"/>
      <c r="D531" s="2"/>
    </row>
    <row r="532" spans="3:4" ht="15.75" customHeight="1">
      <c r="C532" s="1"/>
      <c r="D532" s="2"/>
    </row>
    <row r="533" spans="3:4" ht="15.75" customHeight="1">
      <c r="C533" s="1"/>
      <c r="D533" s="2"/>
    </row>
    <row r="534" spans="3:4" ht="15.75" customHeight="1">
      <c r="C534" s="1"/>
      <c r="D534" s="2"/>
    </row>
    <row r="535" spans="3:4" ht="15.75" customHeight="1">
      <c r="C535" s="1"/>
      <c r="D535" s="2"/>
    </row>
    <row r="536" spans="3:4" ht="15.75" customHeight="1">
      <c r="C536" s="1"/>
      <c r="D536" s="2"/>
    </row>
    <row r="537" spans="3:4" ht="15.75" customHeight="1">
      <c r="C537" s="1"/>
      <c r="D537" s="2"/>
    </row>
    <row r="538" spans="3:4" ht="15.75" customHeight="1">
      <c r="C538" s="1"/>
      <c r="D538" s="2"/>
    </row>
    <row r="539" spans="3:4" ht="15.75" customHeight="1">
      <c r="C539" s="1"/>
      <c r="D539" s="2"/>
    </row>
    <row r="540" spans="3:4" ht="15.75" customHeight="1">
      <c r="C540" s="1"/>
      <c r="D540" s="2"/>
    </row>
    <row r="541" spans="3:4" ht="15.75" customHeight="1">
      <c r="C541" s="1"/>
      <c r="D541" s="2"/>
    </row>
    <row r="542" spans="3:4" ht="15.75" customHeight="1">
      <c r="C542" s="1"/>
      <c r="D542" s="2"/>
    </row>
    <row r="543" spans="3:4" ht="15.75" customHeight="1">
      <c r="C543" s="1"/>
      <c r="D543" s="2"/>
    </row>
    <row r="544" spans="3:4" ht="15.75" customHeight="1">
      <c r="C544" s="1"/>
      <c r="D544" s="2"/>
    </row>
    <row r="545" spans="3:4" ht="15.75" customHeight="1">
      <c r="C545" s="1"/>
      <c r="D545" s="2"/>
    </row>
    <row r="546" spans="3:4" ht="15.75" customHeight="1">
      <c r="C546" s="1"/>
      <c r="D546" s="2"/>
    </row>
    <row r="547" spans="3:4" ht="15.75" customHeight="1">
      <c r="C547" s="1"/>
      <c r="D547" s="2"/>
    </row>
    <row r="548" spans="3:4" ht="15.75" customHeight="1">
      <c r="C548" s="1"/>
      <c r="D548" s="2"/>
    </row>
    <row r="549" spans="3:4" ht="15.75" customHeight="1">
      <c r="C549" s="1"/>
      <c r="D549" s="2"/>
    </row>
    <row r="550" spans="3:4" ht="15.75" customHeight="1">
      <c r="C550" s="1"/>
      <c r="D550" s="2"/>
    </row>
    <row r="551" spans="3:4" ht="15.75" customHeight="1">
      <c r="C551" s="1"/>
      <c r="D551" s="2"/>
    </row>
    <row r="552" spans="3:4" ht="15.75" customHeight="1">
      <c r="C552" s="1"/>
      <c r="D552" s="2"/>
    </row>
    <row r="553" spans="3:4" ht="15.75" customHeight="1">
      <c r="C553" s="1"/>
      <c r="D553" s="2"/>
    </row>
    <row r="554" spans="3:4" ht="15.75" customHeight="1">
      <c r="C554" s="1"/>
      <c r="D554" s="2"/>
    </row>
    <row r="555" spans="3:4" ht="15.75" customHeight="1">
      <c r="C555" s="1"/>
      <c r="D555" s="2"/>
    </row>
    <row r="556" spans="3:4" ht="15.75" customHeight="1">
      <c r="C556" s="1"/>
      <c r="D556" s="2"/>
    </row>
    <row r="557" spans="3:4" ht="15.75" customHeight="1">
      <c r="C557" s="1"/>
      <c r="D557" s="2"/>
    </row>
    <row r="558" spans="3:4" ht="15.75" customHeight="1">
      <c r="C558" s="1"/>
      <c r="D558" s="2"/>
    </row>
    <row r="559" spans="3:4" ht="15.75" customHeight="1">
      <c r="C559" s="1"/>
      <c r="D559" s="2"/>
    </row>
    <row r="560" spans="3:4" ht="15.75" customHeight="1">
      <c r="C560" s="1"/>
      <c r="D560" s="2"/>
    </row>
    <row r="561" spans="3:4" ht="15.75" customHeight="1">
      <c r="C561" s="1"/>
      <c r="D561" s="2"/>
    </row>
    <row r="562" spans="3:4" ht="15.75" customHeight="1">
      <c r="C562" s="1"/>
      <c r="D562" s="2"/>
    </row>
    <row r="563" spans="3:4" ht="15.75" customHeight="1">
      <c r="C563" s="1"/>
      <c r="D563" s="2"/>
    </row>
    <row r="564" spans="3:4" ht="15.75" customHeight="1">
      <c r="C564" s="1"/>
      <c r="D564" s="2"/>
    </row>
    <row r="565" spans="3:4" ht="15.75" customHeight="1">
      <c r="C565" s="1"/>
      <c r="D565" s="2"/>
    </row>
    <row r="566" spans="3:4" ht="15.75" customHeight="1">
      <c r="C566" s="1"/>
      <c r="D566" s="2"/>
    </row>
    <row r="567" spans="3:4" ht="15.75" customHeight="1">
      <c r="C567" s="1"/>
      <c r="D567" s="2"/>
    </row>
    <row r="568" spans="3:4" ht="15.75" customHeight="1">
      <c r="C568" s="1"/>
      <c r="D568" s="2"/>
    </row>
    <row r="569" spans="3:4" ht="15.75" customHeight="1">
      <c r="C569" s="1"/>
      <c r="D569" s="2"/>
    </row>
    <row r="570" spans="3:4" ht="15.75" customHeight="1">
      <c r="C570" s="1"/>
      <c r="D570" s="2"/>
    </row>
    <row r="571" spans="3:4" ht="15.75" customHeight="1">
      <c r="C571" s="1"/>
      <c r="D571" s="2"/>
    </row>
    <row r="572" spans="3:4" ht="15.75" customHeight="1">
      <c r="C572" s="1"/>
      <c r="D572" s="2"/>
    </row>
    <row r="573" spans="3:4" ht="15.75" customHeight="1">
      <c r="C573" s="1"/>
      <c r="D573" s="2"/>
    </row>
    <row r="574" spans="3:4" ht="15.75" customHeight="1">
      <c r="C574" s="1"/>
      <c r="D574" s="2"/>
    </row>
    <row r="575" spans="3:4" ht="15.75" customHeight="1">
      <c r="C575" s="1"/>
      <c r="D575" s="2"/>
    </row>
    <row r="576" spans="3:4" ht="15.75" customHeight="1">
      <c r="C576" s="1"/>
      <c r="D576" s="2"/>
    </row>
    <row r="577" spans="3:4" ht="15.75" customHeight="1">
      <c r="C577" s="1"/>
      <c r="D577" s="2"/>
    </row>
    <row r="578" spans="3:4" ht="15.75" customHeight="1">
      <c r="C578" s="1"/>
      <c r="D578" s="2"/>
    </row>
    <row r="579" spans="3:4" ht="15.75" customHeight="1">
      <c r="C579" s="1"/>
      <c r="D579" s="2"/>
    </row>
    <row r="580" spans="3:4" ht="15.75" customHeight="1">
      <c r="C580" s="1"/>
      <c r="D580" s="2"/>
    </row>
    <row r="581" spans="3:4" ht="15.75" customHeight="1">
      <c r="C581" s="1"/>
      <c r="D581" s="2"/>
    </row>
    <row r="582" spans="3:4" ht="15.75" customHeight="1">
      <c r="C582" s="1"/>
      <c r="D582" s="2"/>
    </row>
    <row r="583" spans="3:4" ht="15.75" customHeight="1">
      <c r="C583" s="1"/>
      <c r="D583" s="2"/>
    </row>
    <row r="584" spans="3:4" ht="15.75" customHeight="1">
      <c r="C584" s="1"/>
      <c r="D584" s="2"/>
    </row>
    <row r="585" spans="3:4" ht="15.75" customHeight="1">
      <c r="C585" s="1"/>
      <c r="D585" s="2"/>
    </row>
    <row r="586" spans="3:4" ht="15.75" customHeight="1">
      <c r="C586" s="1"/>
      <c r="D586" s="2"/>
    </row>
    <row r="587" spans="3:4" ht="15.75" customHeight="1">
      <c r="C587" s="1"/>
      <c r="D587" s="2"/>
    </row>
    <row r="588" spans="3:4" ht="15.75" customHeight="1">
      <c r="C588" s="1"/>
      <c r="D588" s="2"/>
    </row>
    <row r="589" spans="3:4" ht="15.75" customHeight="1">
      <c r="C589" s="1"/>
      <c r="D589" s="2"/>
    </row>
    <row r="590" spans="3:4" ht="15.75" customHeight="1">
      <c r="C590" s="1"/>
      <c r="D590" s="2"/>
    </row>
    <row r="591" spans="3:4" ht="15.75" customHeight="1">
      <c r="C591" s="1"/>
      <c r="D591" s="2"/>
    </row>
    <row r="592" spans="3:4" ht="15.75" customHeight="1">
      <c r="C592" s="1"/>
      <c r="D592" s="2"/>
    </row>
    <row r="593" spans="3:4" ht="15.75" customHeight="1">
      <c r="C593" s="1"/>
      <c r="D593" s="2"/>
    </row>
    <row r="594" spans="3:4" ht="15.75" customHeight="1">
      <c r="C594" s="1"/>
      <c r="D594" s="2"/>
    </row>
    <row r="595" spans="3:4" ht="15.75" customHeight="1">
      <c r="C595" s="1"/>
      <c r="D595" s="2"/>
    </row>
    <row r="596" spans="3:4" ht="15.75" customHeight="1">
      <c r="C596" s="1"/>
      <c r="D596" s="2"/>
    </row>
    <row r="597" spans="3:4" ht="15.75" customHeight="1">
      <c r="C597" s="1"/>
      <c r="D597" s="2"/>
    </row>
    <row r="598" spans="3:4" ht="15.75" customHeight="1">
      <c r="C598" s="1"/>
      <c r="D598" s="2"/>
    </row>
    <row r="599" spans="3:4" ht="15.75" customHeight="1">
      <c r="C599" s="1"/>
      <c r="D599" s="2"/>
    </row>
    <row r="600" spans="3:4" ht="15.75" customHeight="1">
      <c r="C600" s="1"/>
      <c r="D600" s="2"/>
    </row>
    <row r="601" spans="3:4" ht="15.75" customHeight="1">
      <c r="C601" s="1"/>
      <c r="D601" s="2"/>
    </row>
    <row r="602" spans="3:4" ht="15.75" customHeight="1">
      <c r="C602" s="1"/>
      <c r="D602" s="2"/>
    </row>
    <row r="603" spans="3:4" ht="15.75" customHeight="1">
      <c r="C603" s="1"/>
      <c r="D603" s="2"/>
    </row>
    <row r="604" spans="3:4" ht="15.75" customHeight="1">
      <c r="C604" s="1"/>
      <c r="D604" s="2"/>
    </row>
    <row r="605" spans="3:4" ht="15.75" customHeight="1">
      <c r="C605" s="1"/>
      <c r="D605" s="2"/>
    </row>
    <row r="606" spans="3:4" ht="15.75" customHeight="1">
      <c r="C606" s="1"/>
      <c r="D606" s="2"/>
    </row>
    <row r="607" spans="3:4" ht="15.75" customHeight="1">
      <c r="C607" s="1"/>
      <c r="D607" s="2"/>
    </row>
    <row r="608" spans="3:4" ht="15.75" customHeight="1">
      <c r="C608" s="1"/>
      <c r="D608" s="2"/>
    </row>
    <row r="609" spans="3:4" ht="15.75" customHeight="1">
      <c r="C609" s="1"/>
      <c r="D609" s="2"/>
    </row>
    <row r="610" spans="3:4" ht="15.75" customHeight="1">
      <c r="C610" s="1"/>
      <c r="D610" s="2"/>
    </row>
    <row r="611" spans="3:4" ht="15.75" customHeight="1">
      <c r="C611" s="1"/>
      <c r="D611" s="2"/>
    </row>
    <row r="612" spans="3:4" ht="15.75" customHeight="1">
      <c r="C612" s="1"/>
      <c r="D612" s="2"/>
    </row>
    <row r="613" spans="3:4" ht="15.75" customHeight="1">
      <c r="C613" s="1"/>
      <c r="D613" s="2"/>
    </row>
    <row r="614" spans="3:4" ht="15.75" customHeight="1">
      <c r="C614" s="1"/>
      <c r="D614" s="2"/>
    </row>
    <row r="615" spans="3:4" ht="15.75" customHeight="1">
      <c r="C615" s="1"/>
      <c r="D615" s="2"/>
    </row>
    <row r="616" spans="3:4" ht="15.75" customHeight="1">
      <c r="C616" s="1"/>
      <c r="D616" s="2"/>
    </row>
    <row r="617" spans="3:4" ht="15.75" customHeight="1">
      <c r="C617" s="1"/>
      <c r="D617" s="2"/>
    </row>
    <row r="618" spans="3:4" ht="15.75" customHeight="1">
      <c r="C618" s="1"/>
      <c r="D618" s="2"/>
    </row>
    <row r="619" spans="3:4" ht="15.75" customHeight="1">
      <c r="C619" s="1"/>
      <c r="D619" s="2"/>
    </row>
    <row r="620" spans="3:4" ht="15.75" customHeight="1">
      <c r="C620" s="1"/>
      <c r="D620" s="2"/>
    </row>
    <row r="621" spans="3:4" ht="15.75" customHeight="1">
      <c r="C621" s="1"/>
      <c r="D621" s="2"/>
    </row>
    <row r="622" spans="3:4" ht="15.75" customHeight="1">
      <c r="C622" s="1"/>
      <c r="D622" s="2"/>
    </row>
    <row r="623" spans="3:4" ht="15.75" customHeight="1">
      <c r="C623" s="1"/>
      <c r="D623" s="2"/>
    </row>
    <row r="624" spans="3:4" ht="15.75" customHeight="1">
      <c r="C624" s="1"/>
      <c r="D624" s="2"/>
    </row>
    <row r="625" spans="3:4" ht="15.75" customHeight="1">
      <c r="C625" s="1"/>
      <c r="D625" s="2"/>
    </row>
    <row r="626" spans="3:4" ht="15.75" customHeight="1">
      <c r="C626" s="1"/>
      <c r="D626" s="2"/>
    </row>
    <row r="627" spans="3:4" ht="15.75" customHeight="1">
      <c r="C627" s="1"/>
      <c r="D627" s="2"/>
    </row>
    <row r="628" spans="3:4" ht="15.75" customHeight="1">
      <c r="C628" s="1"/>
      <c r="D628" s="2"/>
    </row>
    <row r="629" spans="3:4" ht="15.75" customHeight="1">
      <c r="C629" s="1"/>
      <c r="D629" s="2"/>
    </row>
    <row r="630" spans="3:4" ht="15.75" customHeight="1">
      <c r="C630" s="1"/>
      <c r="D630" s="2"/>
    </row>
    <row r="631" spans="3:4" ht="15.75" customHeight="1">
      <c r="C631" s="1"/>
      <c r="D631" s="2"/>
    </row>
    <row r="632" spans="3:4" ht="15.75" customHeight="1">
      <c r="C632" s="1"/>
      <c r="D632" s="2"/>
    </row>
    <row r="633" spans="3:4" ht="15.75" customHeight="1">
      <c r="C633" s="1"/>
      <c r="D633" s="2"/>
    </row>
    <row r="634" spans="3:4" ht="15.75" customHeight="1">
      <c r="C634" s="1"/>
      <c r="D634" s="2"/>
    </row>
    <row r="635" spans="3:4" ht="15.75" customHeight="1">
      <c r="C635" s="1"/>
      <c r="D635" s="2"/>
    </row>
    <row r="636" spans="3:4" ht="15.75" customHeight="1">
      <c r="C636" s="1"/>
      <c r="D636" s="2"/>
    </row>
    <row r="637" spans="3:4" ht="15.75" customHeight="1">
      <c r="C637" s="1"/>
      <c r="D637" s="2"/>
    </row>
    <row r="638" spans="3:4" ht="15.75" customHeight="1">
      <c r="C638" s="1"/>
      <c r="D638" s="2"/>
    </row>
    <row r="639" spans="3:4" ht="15.75" customHeight="1">
      <c r="C639" s="1"/>
      <c r="D639" s="2"/>
    </row>
    <row r="640" spans="3:4" ht="15.75" customHeight="1">
      <c r="C640" s="1"/>
      <c r="D640" s="2"/>
    </row>
    <row r="641" spans="3:4" ht="15.75" customHeight="1">
      <c r="C641" s="1"/>
      <c r="D641" s="2"/>
    </row>
    <row r="642" spans="3:4" ht="15.75" customHeight="1">
      <c r="C642" s="1"/>
      <c r="D642" s="2"/>
    </row>
    <row r="643" spans="3:4" ht="15.75" customHeight="1">
      <c r="C643" s="1"/>
      <c r="D643" s="2"/>
    </row>
    <row r="644" spans="3:4" ht="15.75" customHeight="1">
      <c r="C644" s="1"/>
      <c r="D644" s="2"/>
    </row>
    <row r="645" spans="3:4" ht="15.75" customHeight="1">
      <c r="C645" s="1"/>
      <c r="D645" s="2"/>
    </row>
    <row r="646" spans="3:4" ht="15.75" customHeight="1">
      <c r="C646" s="1"/>
      <c r="D646" s="2"/>
    </row>
    <row r="647" spans="3:4" ht="15.75" customHeight="1">
      <c r="C647" s="1"/>
      <c r="D647" s="2"/>
    </row>
    <row r="648" spans="3:4" ht="15.75" customHeight="1">
      <c r="C648" s="1"/>
      <c r="D648" s="2"/>
    </row>
    <row r="649" spans="3:4" ht="15.75" customHeight="1">
      <c r="C649" s="1"/>
      <c r="D649" s="2"/>
    </row>
    <row r="650" spans="3:4" ht="15.75" customHeight="1">
      <c r="C650" s="1"/>
      <c r="D650" s="2"/>
    </row>
    <row r="651" spans="3:4" ht="15.75" customHeight="1">
      <c r="C651" s="1"/>
      <c r="D651" s="2"/>
    </row>
    <row r="652" spans="3:4" ht="15.75" customHeight="1">
      <c r="C652" s="1"/>
      <c r="D652" s="2"/>
    </row>
    <row r="653" spans="3:4" ht="15.75" customHeight="1">
      <c r="C653" s="1"/>
      <c r="D653" s="2"/>
    </row>
    <row r="654" spans="3:4" ht="15.75" customHeight="1">
      <c r="C654" s="1"/>
      <c r="D654" s="2"/>
    </row>
    <row r="655" spans="3:4" ht="15.75" customHeight="1">
      <c r="C655" s="1"/>
      <c r="D655" s="2"/>
    </row>
    <row r="656" spans="3:4" ht="15.75" customHeight="1">
      <c r="C656" s="1"/>
      <c r="D656" s="2"/>
    </row>
    <row r="657" spans="3:4" ht="15.75" customHeight="1">
      <c r="C657" s="1"/>
      <c r="D657" s="2"/>
    </row>
    <row r="658" spans="3:4" ht="15.75" customHeight="1">
      <c r="C658" s="1"/>
      <c r="D658" s="2"/>
    </row>
    <row r="659" spans="3:4" ht="15.75" customHeight="1">
      <c r="C659" s="1"/>
      <c r="D659" s="2"/>
    </row>
    <row r="660" spans="3:4" ht="15.75" customHeight="1">
      <c r="C660" s="1"/>
      <c r="D660" s="2"/>
    </row>
    <row r="661" spans="3:4" ht="15.75" customHeight="1">
      <c r="C661" s="1"/>
      <c r="D661" s="2"/>
    </row>
    <row r="662" spans="3:4" ht="15.75" customHeight="1">
      <c r="C662" s="1"/>
      <c r="D662" s="2"/>
    </row>
    <row r="663" spans="3:4" ht="15.75" customHeight="1">
      <c r="C663" s="1"/>
      <c r="D663" s="2"/>
    </row>
    <row r="664" spans="3:4" ht="15.75" customHeight="1">
      <c r="C664" s="1"/>
      <c r="D664" s="2"/>
    </row>
    <row r="665" spans="3:4" ht="15.75" customHeight="1">
      <c r="C665" s="1"/>
      <c r="D665" s="2"/>
    </row>
    <row r="666" spans="3:4" ht="15.75" customHeight="1">
      <c r="C666" s="1"/>
      <c r="D666" s="2"/>
    </row>
    <row r="667" spans="3:4" ht="15.75" customHeight="1">
      <c r="C667" s="1"/>
      <c r="D667" s="2"/>
    </row>
    <row r="668" spans="3:4" ht="15.75" customHeight="1">
      <c r="C668" s="1"/>
      <c r="D668" s="2"/>
    </row>
    <row r="669" spans="3:4" ht="15.75" customHeight="1">
      <c r="C669" s="1"/>
      <c r="D669" s="2"/>
    </row>
    <row r="670" spans="3:4" ht="15.75" customHeight="1">
      <c r="C670" s="1"/>
      <c r="D670" s="2"/>
    </row>
    <row r="671" spans="3:4" ht="15.75" customHeight="1">
      <c r="C671" s="1"/>
      <c r="D671" s="2"/>
    </row>
    <row r="672" spans="3:4" ht="15.75" customHeight="1">
      <c r="C672" s="1"/>
      <c r="D672" s="2"/>
    </row>
    <row r="673" spans="3:4" ht="15.75" customHeight="1">
      <c r="C673" s="1"/>
      <c r="D673" s="2"/>
    </row>
    <row r="674" spans="3:4" ht="15.75" customHeight="1">
      <c r="C674" s="1"/>
      <c r="D674" s="2"/>
    </row>
    <row r="675" spans="3:4" ht="15.75" customHeight="1">
      <c r="C675" s="1"/>
      <c r="D675" s="2"/>
    </row>
    <row r="676" spans="3:4" ht="15.75" customHeight="1">
      <c r="C676" s="1"/>
      <c r="D676" s="2"/>
    </row>
    <row r="677" spans="3:4" ht="15.75" customHeight="1">
      <c r="C677" s="1"/>
      <c r="D677" s="2"/>
    </row>
    <row r="678" spans="3:4" ht="15.75" customHeight="1">
      <c r="C678" s="1"/>
      <c r="D678" s="2"/>
    </row>
    <row r="679" spans="3:4" ht="15.75" customHeight="1">
      <c r="C679" s="1"/>
      <c r="D679" s="2"/>
    </row>
    <row r="680" spans="3:4" ht="15.75" customHeight="1">
      <c r="C680" s="1"/>
      <c r="D680" s="2"/>
    </row>
    <row r="681" spans="3:4" ht="15.75" customHeight="1">
      <c r="C681" s="1"/>
      <c r="D681" s="2"/>
    </row>
    <row r="682" spans="3:4" ht="15.75" customHeight="1">
      <c r="C682" s="1"/>
      <c r="D682" s="2"/>
    </row>
    <row r="683" spans="3:4" ht="15.75" customHeight="1">
      <c r="C683" s="1"/>
      <c r="D683" s="2"/>
    </row>
    <row r="684" spans="3:4" ht="15.75" customHeight="1">
      <c r="C684" s="1"/>
      <c r="D684" s="2"/>
    </row>
    <row r="685" spans="3:4" ht="15.75" customHeight="1">
      <c r="C685" s="1"/>
      <c r="D685" s="2"/>
    </row>
    <row r="686" spans="3:4" ht="15.75" customHeight="1">
      <c r="C686" s="1"/>
      <c r="D686" s="2"/>
    </row>
    <row r="687" spans="3:4" ht="15.75" customHeight="1">
      <c r="C687" s="1"/>
      <c r="D687" s="2"/>
    </row>
    <row r="688" spans="3:4" ht="15.75" customHeight="1">
      <c r="C688" s="1"/>
      <c r="D688" s="2"/>
    </row>
    <row r="689" spans="3:4" ht="15.75" customHeight="1">
      <c r="C689" s="1"/>
      <c r="D689" s="2"/>
    </row>
    <row r="690" spans="3:4" ht="15.75" customHeight="1">
      <c r="C690" s="1"/>
      <c r="D690" s="2"/>
    </row>
    <row r="691" spans="3:4" ht="15.75" customHeight="1">
      <c r="C691" s="1"/>
      <c r="D691" s="2"/>
    </row>
    <row r="692" spans="3:4" ht="15.75" customHeight="1">
      <c r="C692" s="1"/>
      <c r="D692" s="2"/>
    </row>
    <row r="693" spans="3:4" ht="15.75" customHeight="1">
      <c r="C693" s="1"/>
      <c r="D693" s="2"/>
    </row>
    <row r="694" spans="3:4" ht="15.75" customHeight="1">
      <c r="C694" s="1"/>
      <c r="D694" s="2"/>
    </row>
    <row r="695" spans="3:4" ht="15.75" customHeight="1">
      <c r="C695" s="1"/>
      <c r="D695" s="2"/>
    </row>
    <row r="696" spans="3:4" ht="15.75" customHeight="1">
      <c r="C696" s="1"/>
      <c r="D696" s="2"/>
    </row>
    <row r="697" spans="3:4" ht="15.75" customHeight="1">
      <c r="C697" s="1"/>
      <c r="D697" s="2"/>
    </row>
    <row r="698" spans="3:4" ht="15.75" customHeight="1">
      <c r="C698" s="1"/>
      <c r="D698" s="2"/>
    </row>
    <row r="699" spans="3:4" ht="15.75" customHeight="1">
      <c r="C699" s="1"/>
      <c r="D699" s="2"/>
    </row>
    <row r="700" spans="3:4" ht="15.75" customHeight="1">
      <c r="C700" s="1"/>
      <c r="D700" s="2"/>
    </row>
    <row r="701" spans="3:4" ht="15.75" customHeight="1">
      <c r="C701" s="1"/>
      <c r="D701" s="2"/>
    </row>
    <row r="702" spans="3:4" ht="15.75" customHeight="1">
      <c r="C702" s="1"/>
      <c r="D702" s="2"/>
    </row>
    <row r="703" spans="3:4" ht="15.75" customHeight="1">
      <c r="C703" s="1"/>
      <c r="D703" s="2"/>
    </row>
    <row r="704" spans="3:4" ht="15.75" customHeight="1">
      <c r="C704" s="1"/>
      <c r="D704" s="2"/>
    </row>
    <row r="705" spans="3:4" ht="15.75" customHeight="1">
      <c r="C705" s="1"/>
      <c r="D705" s="2"/>
    </row>
    <row r="706" spans="3:4" ht="15.75" customHeight="1">
      <c r="C706" s="1"/>
      <c r="D706" s="2"/>
    </row>
    <row r="707" spans="3:4" ht="15.75" customHeight="1">
      <c r="C707" s="1"/>
      <c r="D707" s="2"/>
    </row>
    <row r="708" spans="3:4" ht="15.75" customHeight="1">
      <c r="C708" s="1"/>
      <c r="D708" s="2"/>
    </row>
    <row r="709" spans="3:4" ht="15.75" customHeight="1">
      <c r="C709" s="1"/>
      <c r="D709" s="2"/>
    </row>
    <row r="710" spans="3:4" ht="15.75" customHeight="1">
      <c r="C710" s="1"/>
      <c r="D710" s="2"/>
    </row>
    <row r="711" spans="3:4" ht="15.75" customHeight="1">
      <c r="C711" s="1"/>
      <c r="D711" s="2"/>
    </row>
    <row r="712" spans="3:4" ht="15.75" customHeight="1">
      <c r="C712" s="1"/>
      <c r="D712" s="2"/>
    </row>
    <row r="713" spans="3:4" ht="15.75" customHeight="1">
      <c r="C713" s="1"/>
      <c r="D713" s="2"/>
    </row>
    <row r="714" spans="3:4" ht="15.75" customHeight="1">
      <c r="C714" s="1"/>
      <c r="D714" s="2"/>
    </row>
    <row r="715" spans="3:4" ht="15.75" customHeight="1">
      <c r="C715" s="1"/>
      <c r="D715" s="2"/>
    </row>
    <row r="716" spans="3:4" ht="15.75" customHeight="1">
      <c r="C716" s="1"/>
      <c r="D716" s="2"/>
    </row>
    <row r="717" spans="3:4" ht="15.75" customHeight="1">
      <c r="C717" s="1"/>
      <c r="D717" s="2"/>
    </row>
    <row r="718" spans="3:4" ht="15.75" customHeight="1">
      <c r="C718" s="1"/>
      <c r="D718" s="2"/>
    </row>
    <row r="719" spans="3:4" ht="15.75" customHeight="1">
      <c r="C719" s="1"/>
      <c r="D719" s="2"/>
    </row>
    <row r="720" spans="3:4" ht="15.75" customHeight="1">
      <c r="C720" s="1"/>
      <c r="D720" s="2"/>
    </row>
    <row r="721" spans="3:4" ht="15.75" customHeight="1">
      <c r="C721" s="1"/>
      <c r="D721" s="2"/>
    </row>
    <row r="722" spans="3:4" ht="15.75" customHeight="1">
      <c r="C722" s="1"/>
      <c r="D722" s="2"/>
    </row>
    <row r="723" spans="3:4" ht="15.75" customHeight="1">
      <c r="C723" s="1"/>
      <c r="D723" s="2"/>
    </row>
    <row r="724" spans="3:4" ht="15.75" customHeight="1">
      <c r="C724" s="1"/>
      <c r="D724" s="2"/>
    </row>
    <row r="725" spans="3:4" ht="15.75" customHeight="1">
      <c r="C725" s="1"/>
      <c r="D725" s="2"/>
    </row>
    <row r="726" spans="3:4" ht="15.75" customHeight="1">
      <c r="C726" s="1"/>
      <c r="D726" s="2"/>
    </row>
    <row r="727" spans="3:4" ht="15.75" customHeight="1">
      <c r="C727" s="1"/>
      <c r="D727" s="2"/>
    </row>
    <row r="728" spans="3:4" ht="15.75" customHeight="1">
      <c r="C728" s="1"/>
      <c r="D728" s="2"/>
    </row>
    <row r="729" spans="3:4" ht="15.75" customHeight="1">
      <c r="C729" s="1"/>
      <c r="D729" s="2"/>
    </row>
    <row r="730" spans="3:4" ht="15.75" customHeight="1">
      <c r="C730" s="1"/>
      <c r="D730" s="2"/>
    </row>
    <row r="731" spans="3:4" ht="15.75" customHeight="1">
      <c r="C731" s="1"/>
      <c r="D731" s="2"/>
    </row>
    <row r="732" spans="3:4" ht="15.75" customHeight="1">
      <c r="C732" s="1"/>
      <c r="D732" s="2"/>
    </row>
    <row r="733" spans="3:4" ht="15.75" customHeight="1">
      <c r="C733" s="1"/>
      <c r="D733" s="2"/>
    </row>
    <row r="734" spans="3:4" ht="15.75" customHeight="1">
      <c r="C734" s="1"/>
      <c r="D734" s="2"/>
    </row>
    <row r="735" spans="3:4" ht="15.75" customHeight="1">
      <c r="C735" s="1"/>
      <c r="D735" s="2"/>
    </row>
    <row r="736" spans="3:4" ht="15.75" customHeight="1">
      <c r="C736" s="1"/>
      <c r="D736" s="2"/>
    </row>
    <row r="737" spans="3:4" ht="15.75" customHeight="1">
      <c r="C737" s="1"/>
      <c r="D737" s="2"/>
    </row>
    <row r="738" spans="3:4" ht="15.75" customHeight="1">
      <c r="C738" s="1"/>
      <c r="D738" s="2"/>
    </row>
    <row r="739" spans="3:4" ht="15.75" customHeight="1">
      <c r="C739" s="1"/>
      <c r="D739" s="2"/>
    </row>
    <row r="740" spans="3:4" ht="15.75" customHeight="1">
      <c r="C740" s="1"/>
      <c r="D740" s="2"/>
    </row>
    <row r="741" spans="3:4" ht="15.75" customHeight="1">
      <c r="C741" s="1"/>
      <c r="D741" s="2"/>
    </row>
    <row r="742" spans="3:4" ht="15.75" customHeight="1">
      <c r="C742" s="1"/>
      <c r="D742" s="2"/>
    </row>
    <row r="743" spans="3:4" ht="15.75" customHeight="1">
      <c r="C743" s="1"/>
      <c r="D743" s="2"/>
    </row>
    <row r="744" spans="3:4" ht="15.75" customHeight="1">
      <c r="C744" s="1"/>
      <c r="D744" s="2"/>
    </row>
    <row r="745" spans="3:4" ht="15.75" customHeight="1">
      <c r="C745" s="1"/>
      <c r="D745" s="2"/>
    </row>
    <row r="746" spans="3:4" ht="15.75" customHeight="1">
      <c r="C746" s="1"/>
      <c r="D746" s="2"/>
    </row>
    <row r="747" spans="3:4" ht="15.75" customHeight="1">
      <c r="C747" s="1"/>
      <c r="D747" s="2"/>
    </row>
    <row r="748" spans="3:4" ht="15.75" customHeight="1">
      <c r="C748" s="1"/>
      <c r="D748" s="2"/>
    </row>
    <row r="749" spans="3:4" ht="15.75" customHeight="1">
      <c r="C749" s="1"/>
      <c r="D749" s="2"/>
    </row>
    <row r="750" spans="3:4" ht="15.75" customHeight="1">
      <c r="C750" s="1"/>
      <c r="D750" s="2"/>
    </row>
    <row r="751" spans="3:4" ht="15.75" customHeight="1">
      <c r="C751" s="1"/>
      <c r="D751" s="2"/>
    </row>
    <row r="752" spans="3:4" ht="15.75" customHeight="1">
      <c r="C752" s="1"/>
      <c r="D752" s="2"/>
    </row>
    <row r="753" spans="3:4" ht="15.75" customHeight="1">
      <c r="C753" s="1"/>
      <c r="D753" s="2"/>
    </row>
    <row r="754" spans="3:4" ht="15.75" customHeight="1">
      <c r="C754" s="1"/>
      <c r="D754" s="2"/>
    </row>
    <row r="755" spans="3:4" ht="15.75" customHeight="1">
      <c r="C755" s="1"/>
      <c r="D755" s="2"/>
    </row>
    <row r="756" spans="3:4" ht="15.75" customHeight="1">
      <c r="C756" s="1"/>
      <c r="D756" s="2"/>
    </row>
    <row r="757" spans="3:4" ht="15.75" customHeight="1">
      <c r="C757" s="1"/>
      <c r="D757" s="2"/>
    </row>
    <row r="758" spans="3:4" ht="15.75" customHeight="1">
      <c r="C758" s="1"/>
      <c r="D758" s="2"/>
    </row>
    <row r="759" spans="3:4" ht="15.75" customHeight="1">
      <c r="C759" s="1"/>
      <c r="D759" s="2"/>
    </row>
    <row r="760" spans="3:4" ht="15.75" customHeight="1">
      <c r="C760" s="1"/>
      <c r="D760" s="2"/>
    </row>
    <row r="761" spans="3:4" ht="15.75" customHeight="1">
      <c r="C761" s="1"/>
      <c r="D761" s="2"/>
    </row>
    <row r="762" spans="3:4" ht="15.75" customHeight="1">
      <c r="C762" s="1"/>
      <c r="D762" s="2"/>
    </row>
    <row r="763" spans="3:4" ht="15.75" customHeight="1">
      <c r="C763" s="1"/>
      <c r="D763" s="2"/>
    </row>
    <row r="764" spans="3:4" ht="15.75" customHeight="1">
      <c r="C764" s="1"/>
      <c r="D764" s="2"/>
    </row>
    <row r="765" spans="3:4" ht="15.75" customHeight="1">
      <c r="C765" s="1"/>
      <c r="D765" s="2"/>
    </row>
    <row r="766" spans="3:4" ht="15.75" customHeight="1">
      <c r="C766" s="1"/>
      <c r="D766" s="2"/>
    </row>
    <row r="767" spans="3:4" ht="15.75" customHeight="1">
      <c r="C767" s="1"/>
      <c r="D767" s="2"/>
    </row>
    <row r="768" spans="3:4" ht="15.75" customHeight="1">
      <c r="C768" s="1"/>
      <c r="D768" s="2"/>
    </row>
    <row r="769" spans="3:4" ht="15.75" customHeight="1">
      <c r="C769" s="1"/>
      <c r="D769" s="2"/>
    </row>
    <row r="770" spans="3:4" ht="15.75" customHeight="1">
      <c r="C770" s="1"/>
      <c r="D770" s="2"/>
    </row>
    <row r="771" spans="3:4" ht="15.75" customHeight="1">
      <c r="C771" s="1"/>
      <c r="D771" s="2"/>
    </row>
    <row r="772" spans="3:4" ht="15.75" customHeight="1">
      <c r="C772" s="1"/>
      <c r="D772" s="2"/>
    </row>
    <row r="773" spans="3:4" ht="15.75" customHeight="1">
      <c r="C773" s="1"/>
      <c r="D773" s="2"/>
    </row>
    <row r="774" spans="3:4" ht="15.75" customHeight="1">
      <c r="C774" s="1"/>
      <c r="D774" s="2"/>
    </row>
    <row r="775" spans="3:4" ht="15.75" customHeight="1">
      <c r="C775" s="1"/>
      <c r="D775" s="2"/>
    </row>
    <row r="776" spans="3:4" ht="15.75" customHeight="1">
      <c r="C776" s="1"/>
      <c r="D776" s="2"/>
    </row>
    <row r="777" spans="3:4" ht="15.75" customHeight="1">
      <c r="C777" s="1"/>
      <c r="D777" s="2"/>
    </row>
    <row r="778" spans="3:4" ht="15.75" customHeight="1">
      <c r="C778" s="1"/>
      <c r="D778" s="2"/>
    </row>
    <row r="779" spans="3:4" ht="15.75" customHeight="1">
      <c r="C779" s="1"/>
      <c r="D779" s="2"/>
    </row>
    <row r="780" spans="3:4" ht="15.75" customHeight="1">
      <c r="C780" s="1"/>
      <c r="D780" s="2"/>
    </row>
    <row r="781" spans="3:4" ht="15.75" customHeight="1">
      <c r="C781" s="1"/>
      <c r="D781" s="2"/>
    </row>
    <row r="782" spans="3:4" ht="15.75" customHeight="1">
      <c r="C782" s="1"/>
      <c r="D782" s="2"/>
    </row>
    <row r="783" spans="3:4" ht="15.75" customHeight="1">
      <c r="C783" s="1"/>
      <c r="D783" s="2"/>
    </row>
    <row r="784" spans="3:4" ht="15.75" customHeight="1">
      <c r="C784" s="1"/>
      <c r="D784" s="2"/>
    </row>
    <row r="785" spans="3:4" ht="15.75" customHeight="1">
      <c r="C785" s="1"/>
      <c r="D785" s="2"/>
    </row>
    <row r="786" spans="3:4" ht="15.75" customHeight="1">
      <c r="C786" s="1"/>
      <c r="D786" s="2"/>
    </row>
    <row r="787" spans="3:4" ht="15.75" customHeight="1">
      <c r="C787" s="1"/>
      <c r="D787" s="2"/>
    </row>
    <row r="788" spans="3:4" ht="15.75" customHeight="1">
      <c r="C788" s="1"/>
      <c r="D788" s="2"/>
    </row>
    <row r="789" spans="3:4" ht="15.75" customHeight="1">
      <c r="C789" s="1"/>
      <c r="D789" s="2"/>
    </row>
    <row r="790" spans="3:4" ht="15.75" customHeight="1">
      <c r="C790" s="1"/>
      <c r="D790" s="2"/>
    </row>
    <row r="791" spans="3:4" ht="15.75" customHeight="1">
      <c r="C791" s="1"/>
      <c r="D791" s="2"/>
    </row>
    <row r="792" spans="3:4" ht="15.75" customHeight="1">
      <c r="C792" s="1"/>
      <c r="D792" s="2"/>
    </row>
    <row r="793" spans="3:4" ht="15.75" customHeight="1">
      <c r="C793" s="1"/>
      <c r="D793" s="2"/>
    </row>
    <row r="794" spans="3:4" ht="15.75" customHeight="1">
      <c r="C794" s="1"/>
      <c r="D794" s="2"/>
    </row>
    <row r="795" spans="3:4" ht="15.75" customHeight="1">
      <c r="C795" s="1"/>
      <c r="D795" s="2"/>
    </row>
    <row r="796" spans="3:4" ht="15.75" customHeight="1">
      <c r="C796" s="1"/>
      <c r="D796" s="2"/>
    </row>
    <row r="797" spans="3:4" ht="15.75" customHeight="1">
      <c r="C797" s="1"/>
      <c r="D797" s="2"/>
    </row>
    <row r="798" spans="3:4" ht="15.75" customHeight="1">
      <c r="C798" s="1"/>
      <c r="D798" s="2"/>
    </row>
    <row r="799" spans="3:4" ht="15.75" customHeight="1">
      <c r="C799" s="1"/>
      <c r="D799" s="2"/>
    </row>
    <row r="800" spans="3:4" ht="15.75" customHeight="1">
      <c r="C800" s="1"/>
      <c r="D800" s="2"/>
    </row>
    <row r="801" spans="3:4" ht="15.75" customHeight="1">
      <c r="C801" s="1"/>
      <c r="D801" s="2"/>
    </row>
    <row r="802" spans="3:4" ht="15.75" customHeight="1">
      <c r="C802" s="1"/>
      <c r="D802" s="2"/>
    </row>
    <row r="803" spans="3:4" ht="15.75" customHeight="1">
      <c r="C803" s="1"/>
      <c r="D803" s="2"/>
    </row>
    <row r="804" spans="3:4" ht="15.75" customHeight="1">
      <c r="C804" s="1"/>
      <c r="D804" s="2"/>
    </row>
    <row r="805" spans="3:4" ht="15.75" customHeight="1">
      <c r="C805" s="1"/>
      <c r="D805" s="2"/>
    </row>
    <row r="806" spans="3:4" ht="15.75" customHeight="1">
      <c r="C806" s="1"/>
      <c r="D806" s="2"/>
    </row>
    <row r="807" spans="3:4" ht="15.75" customHeight="1">
      <c r="C807" s="1"/>
      <c r="D807" s="2"/>
    </row>
    <row r="808" spans="3:4" ht="15.75" customHeight="1">
      <c r="C808" s="1"/>
      <c r="D808" s="2"/>
    </row>
    <row r="809" spans="3:4" ht="15.75" customHeight="1">
      <c r="C809" s="1"/>
      <c r="D809" s="2"/>
    </row>
    <row r="810" spans="3:4" ht="15.75" customHeight="1">
      <c r="C810" s="1"/>
      <c r="D810" s="2"/>
    </row>
    <row r="811" spans="3:4" ht="15.75" customHeight="1">
      <c r="C811" s="1"/>
      <c r="D811" s="2"/>
    </row>
    <row r="812" spans="3:4" ht="15.75" customHeight="1">
      <c r="C812" s="1"/>
      <c r="D812" s="2"/>
    </row>
    <row r="813" spans="3:4" ht="15.75" customHeight="1">
      <c r="C813" s="1"/>
      <c r="D813" s="2"/>
    </row>
    <row r="814" spans="3:4" ht="15.75" customHeight="1">
      <c r="C814" s="1"/>
      <c r="D814" s="2"/>
    </row>
    <row r="815" spans="3:4" ht="15.75" customHeight="1">
      <c r="C815" s="1"/>
      <c r="D815" s="2"/>
    </row>
    <row r="816" spans="3:4" ht="15.75" customHeight="1">
      <c r="C816" s="1"/>
      <c r="D816" s="2"/>
    </row>
    <row r="817" spans="3:4" ht="15.75" customHeight="1">
      <c r="C817" s="1"/>
      <c r="D817" s="2"/>
    </row>
    <row r="818" spans="3:4" ht="15.75" customHeight="1">
      <c r="C818" s="1"/>
      <c r="D818" s="2"/>
    </row>
    <row r="819" spans="3:4" ht="15.75" customHeight="1">
      <c r="C819" s="1"/>
      <c r="D819" s="2"/>
    </row>
    <row r="820" spans="3:4" ht="15.75" customHeight="1">
      <c r="C820" s="1"/>
      <c r="D820" s="2"/>
    </row>
    <row r="821" spans="3:4" ht="15.75" customHeight="1">
      <c r="C821" s="1"/>
      <c r="D821" s="2"/>
    </row>
    <row r="822" spans="3:4" ht="15.75" customHeight="1">
      <c r="C822" s="1"/>
      <c r="D822" s="2"/>
    </row>
    <row r="823" spans="3:4" ht="15.75" customHeight="1">
      <c r="C823" s="1"/>
      <c r="D823" s="2"/>
    </row>
    <row r="824" spans="3:4" ht="15.75" customHeight="1">
      <c r="C824" s="1"/>
      <c r="D824" s="2"/>
    </row>
    <row r="825" spans="3:4" ht="15.75" customHeight="1">
      <c r="C825" s="1"/>
      <c r="D825" s="2"/>
    </row>
    <row r="826" spans="3:4" ht="15.75" customHeight="1">
      <c r="C826" s="1"/>
      <c r="D826" s="2"/>
    </row>
    <row r="827" spans="3:4" ht="15.75" customHeight="1">
      <c r="C827" s="1"/>
      <c r="D827" s="2"/>
    </row>
    <row r="828" spans="3:4" ht="15.75" customHeight="1">
      <c r="C828" s="1"/>
      <c r="D828" s="2"/>
    </row>
    <row r="829" spans="3:4" ht="15.75" customHeight="1">
      <c r="C829" s="1"/>
      <c r="D829" s="2"/>
    </row>
    <row r="830" spans="3:4" ht="15.75" customHeight="1">
      <c r="C830" s="1"/>
      <c r="D830" s="2"/>
    </row>
    <row r="831" spans="3:4" ht="15.75" customHeight="1">
      <c r="C831" s="1"/>
      <c r="D831" s="2"/>
    </row>
    <row r="832" spans="3:4" ht="15.75" customHeight="1">
      <c r="C832" s="1"/>
      <c r="D832" s="2"/>
    </row>
    <row r="833" spans="3:4" ht="15.75" customHeight="1">
      <c r="C833" s="1"/>
      <c r="D833" s="2"/>
    </row>
    <row r="834" spans="3:4" ht="15.75" customHeight="1">
      <c r="C834" s="1"/>
      <c r="D834" s="2"/>
    </row>
    <row r="835" spans="3:4" ht="15.75" customHeight="1">
      <c r="C835" s="1"/>
      <c r="D835" s="2"/>
    </row>
    <row r="836" spans="3:4" ht="15.75" customHeight="1">
      <c r="C836" s="1"/>
      <c r="D836" s="2"/>
    </row>
    <row r="837" spans="3:4" ht="15.75" customHeight="1">
      <c r="C837" s="1"/>
      <c r="D837" s="2"/>
    </row>
    <row r="838" spans="3:4" ht="15.75" customHeight="1">
      <c r="C838" s="1"/>
      <c r="D838" s="2"/>
    </row>
    <row r="839" spans="3:4" ht="15.75" customHeight="1">
      <c r="C839" s="1"/>
      <c r="D839" s="2"/>
    </row>
    <row r="840" spans="3:4" ht="15.75" customHeight="1">
      <c r="C840" s="1"/>
      <c r="D840" s="2"/>
    </row>
    <row r="841" spans="3:4" ht="15.75" customHeight="1">
      <c r="C841" s="1"/>
      <c r="D841" s="2"/>
    </row>
    <row r="842" spans="3:4" ht="15.75" customHeight="1">
      <c r="C842" s="1"/>
      <c r="D842" s="2"/>
    </row>
    <row r="843" spans="3:4" ht="15.75" customHeight="1">
      <c r="C843" s="1"/>
      <c r="D843" s="2"/>
    </row>
    <row r="844" spans="3:4" ht="15.75" customHeight="1">
      <c r="C844" s="1"/>
      <c r="D844" s="2"/>
    </row>
    <row r="845" spans="3:4" ht="15.75" customHeight="1">
      <c r="C845" s="1"/>
      <c r="D845" s="2"/>
    </row>
    <row r="846" spans="3:4" ht="15.75" customHeight="1">
      <c r="C846" s="1"/>
      <c r="D846" s="2"/>
    </row>
    <row r="847" spans="3:4" ht="15.75" customHeight="1">
      <c r="C847" s="1"/>
      <c r="D847" s="2"/>
    </row>
    <row r="848" spans="3:4" ht="15.75" customHeight="1">
      <c r="C848" s="1"/>
      <c r="D848" s="2"/>
    </row>
    <row r="849" spans="3:4" ht="15.75" customHeight="1">
      <c r="C849" s="1"/>
      <c r="D849" s="2"/>
    </row>
    <row r="850" spans="3:4" ht="15.75" customHeight="1">
      <c r="C850" s="1"/>
      <c r="D850" s="2"/>
    </row>
    <row r="851" spans="3:4" ht="15.75" customHeight="1">
      <c r="C851" s="1"/>
      <c r="D851" s="2"/>
    </row>
    <row r="852" spans="3:4" ht="15.75" customHeight="1">
      <c r="C852" s="1"/>
      <c r="D852" s="2"/>
    </row>
    <row r="853" spans="3:4" ht="15.75" customHeight="1">
      <c r="C853" s="1"/>
      <c r="D853" s="2"/>
    </row>
    <row r="854" spans="3:4" ht="15.75" customHeight="1">
      <c r="C854" s="1"/>
      <c r="D854" s="2"/>
    </row>
    <row r="855" spans="3:4" ht="15.75" customHeight="1">
      <c r="C855" s="1"/>
      <c r="D855" s="2"/>
    </row>
    <row r="856" spans="3:4" ht="15.75" customHeight="1">
      <c r="C856" s="1"/>
      <c r="D856" s="2"/>
    </row>
    <row r="857" spans="3:4" ht="15.75" customHeight="1">
      <c r="C857" s="1"/>
      <c r="D857" s="2"/>
    </row>
    <row r="858" spans="3:4" ht="15.75" customHeight="1">
      <c r="C858" s="1"/>
      <c r="D858" s="2"/>
    </row>
    <row r="859" spans="3:4" ht="15.75" customHeight="1">
      <c r="C859" s="1"/>
      <c r="D859" s="2"/>
    </row>
    <row r="860" spans="3:4" ht="15.75" customHeight="1">
      <c r="C860" s="1"/>
      <c r="D860" s="2"/>
    </row>
    <row r="861" spans="3:4" ht="15.75" customHeight="1">
      <c r="C861" s="1"/>
      <c r="D861" s="2"/>
    </row>
    <row r="862" spans="3:4" ht="15.75" customHeight="1">
      <c r="C862" s="1"/>
      <c r="D862" s="2"/>
    </row>
    <row r="863" spans="3:4" ht="15.75" customHeight="1">
      <c r="C863" s="1"/>
      <c r="D863" s="2"/>
    </row>
    <row r="864" spans="3:4" ht="15.75" customHeight="1">
      <c r="C864" s="1"/>
      <c r="D864" s="2"/>
    </row>
    <row r="865" spans="3:4" ht="15.75" customHeight="1">
      <c r="C865" s="1"/>
      <c r="D865" s="2"/>
    </row>
    <row r="866" spans="3:4" ht="15.75" customHeight="1">
      <c r="C866" s="1"/>
      <c r="D866" s="2"/>
    </row>
    <row r="867" spans="3:4" ht="15.75" customHeight="1">
      <c r="C867" s="1"/>
      <c r="D867" s="2"/>
    </row>
    <row r="868" spans="3:4" ht="15.75" customHeight="1">
      <c r="C868" s="1"/>
      <c r="D868" s="2"/>
    </row>
    <row r="869" spans="3:4" ht="15.75" customHeight="1">
      <c r="C869" s="1"/>
      <c r="D869" s="2"/>
    </row>
    <row r="870" spans="3:4" ht="15.75" customHeight="1">
      <c r="C870" s="1"/>
      <c r="D870" s="2"/>
    </row>
    <row r="871" spans="3:4" ht="15.75" customHeight="1">
      <c r="C871" s="1"/>
      <c r="D871" s="2"/>
    </row>
    <row r="872" spans="3:4" ht="15.75" customHeight="1">
      <c r="C872" s="1"/>
      <c r="D872" s="2"/>
    </row>
    <row r="873" spans="3:4" ht="15.75" customHeight="1">
      <c r="C873" s="1"/>
      <c r="D873" s="2"/>
    </row>
    <row r="874" spans="3:4" ht="15.75" customHeight="1">
      <c r="C874" s="1"/>
      <c r="D874" s="2"/>
    </row>
    <row r="875" spans="3:4" ht="15.75" customHeight="1">
      <c r="C875" s="1"/>
      <c r="D875" s="2"/>
    </row>
    <row r="876" spans="3:4" ht="15.75" customHeight="1">
      <c r="C876" s="1"/>
      <c r="D876" s="2"/>
    </row>
    <row r="877" spans="3:4" ht="15.75" customHeight="1">
      <c r="C877" s="1"/>
      <c r="D877" s="2"/>
    </row>
    <row r="878" spans="3:4" ht="15.75" customHeight="1">
      <c r="C878" s="1"/>
      <c r="D878" s="2"/>
    </row>
    <row r="879" spans="3:4" ht="15.75" customHeight="1">
      <c r="C879" s="1"/>
      <c r="D879" s="2"/>
    </row>
    <row r="880" spans="3:4" ht="15.75" customHeight="1">
      <c r="C880" s="1"/>
      <c r="D880" s="2"/>
    </row>
    <row r="881" spans="3:4" ht="15.75" customHeight="1">
      <c r="C881" s="1"/>
      <c r="D881" s="2"/>
    </row>
    <row r="882" spans="3:4" ht="15.75" customHeight="1">
      <c r="C882" s="1"/>
      <c r="D882" s="2"/>
    </row>
    <row r="883" spans="3:4" ht="15.75" customHeight="1">
      <c r="C883" s="1"/>
      <c r="D883" s="2"/>
    </row>
    <row r="884" spans="3:4" ht="15.75" customHeight="1">
      <c r="C884" s="1"/>
      <c r="D884" s="2"/>
    </row>
    <row r="885" spans="3:4" ht="15.75" customHeight="1">
      <c r="C885" s="1"/>
      <c r="D885" s="2"/>
    </row>
    <row r="886" spans="3:4" ht="15.75" customHeight="1">
      <c r="C886" s="1"/>
      <c r="D886" s="2"/>
    </row>
    <row r="887" spans="3:4" ht="15.75" customHeight="1">
      <c r="C887" s="1"/>
      <c r="D887" s="2"/>
    </row>
    <row r="888" spans="3:4" ht="15.75" customHeight="1">
      <c r="C888" s="1"/>
      <c r="D888" s="2"/>
    </row>
    <row r="889" spans="3:4" ht="15.75" customHeight="1">
      <c r="C889" s="1"/>
      <c r="D889" s="2"/>
    </row>
    <row r="890" spans="3:4" ht="15.75" customHeight="1">
      <c r="C890" s="1"/>
      <c r="D890" s="2"/>
    </row>
    <row r="891" spans="3:4" ht="15.75" customHeight="1">
      <c r="C891" s="1"/>
      <c r="D891" s="2"/>
    </row>
    <row r="892" spans="3:4" ht="15.75" customHeight="1">
      <c r="C892" s="1"/>
      <c r="D892" s="2"/>
    </row>
    <row r="893" spans="3:4" ht="15.75" customHeight="1">
      <c r="C893" s="1"/>
      <c r="D893" s="2"/>
    </row>
    <row r="894" spans="3:4" ht="15.75" customHeight="1">
      <c r="C894" s="1"/>
      <c r="D894" s="2"/>
    </row>
    <row r="895" spans="3:4" ht="15.75" customHeight="1">
      <c r="C895" s="1"/>
      <c r="D895" s="2"/>
    </row>
    <row r="896" spans="3:4" ht="15.75" customHeight="1">
      <c r="C896" s="1"/>
      <c r="D896" s="2"/>
    </row>
    <row r="897" spans="3:4" ht="15.75" customHeight="1">
      <c r="C897" s="1"/>
      <c r="D897" s="2"/>
    </row>
    <row r="898" spans="3:4" ht="15.75" customHeight="1">
      <c r="C898" s="1"/>
      <c r="D898" s="2"/>
    </row>
    <row r="899" spans="3:4" ht="15.75" customHeight="1">
      <c r="C899" s="1"/>
      <c r="D899" s="2"/>
    </row>
    <row r="900" spans="3:4" ht="15.75" customHeight="1">
      <c r="C900" s="1"/>
      <c r="D900" s="2"/>
    </row>
    <row r="901" spans="3:4" ht="15.75" customHeight="1">
      <c r="C901" s="1"/>
      <c r="D901" s="2"/>
    </row>
    <row r="902" spans="3:4" ht="15.75" customHeight="1">
      <c r="C902" s="1"/>
      <c r="D902" s="2"/>
    </row>
    <row r="903" spans="3:4" ht="15.75" customHeight="1">
      <c r="C903" s="1"/>
      <c r="D903" s="2"/>
    </row>
    <row r="904" spans="3:4" ht="15.75" customHeight="1">
      <c r="C904" s="1"/>
      <c r="D904" s="2"/>
    </row>
    <row r="905" spans="3:4" ht="15.75" customHeight="1">
      <c r="C905" s="1"/>
      <c r="D905" s="2"/>
    </row>
    <row r="906" spans="3:4" ht="15.75" customHeight="1">
      <c r="C906" s="1"/>
      <c r="D906" s="2"/>
    </row>
    <row r="907" spans="3:4" ht="15.75" customHeight="1">
      <c r="C907" s="1"/>
      <c r="D907" s="2"/>
    </row>
    <row r="908" spans="3:4" ht="15.75" customHeight="1">
      <c r="C908" s="1"/>
      <c r="D908" s="2"/>
    </row>
    <row r="909" spans="3:4" ht="15.75" customHeight="1">
      <c r="C909" s="1"/>
      <c r="D909" s="2"/>
    </row>
    <row r="910" spans="3:4" ht="15.75" customHeight="1">
      <c r="C910" s="1"/>
      <c r="D910" s="2"/>
    </row>
    <row r="911" spans="3:4" ht="15.75" customHeight="1">
      <c r="C911" s="1"/>
      <c r="D911" s="2"/>
    </row>
    <row r="912" spans="3:4" ht="15.75" customHeight="1">
      <c r="C912" s="1"/>
      <c r="D912" s="2"/>
    </row>
    <row r="913" spans="3:4" ht="15.75" customHeight="1">
      <c r="C913" s="1"/>
      <c r="D913" s="2"/>
    </row>
    <row r="914" spans="3:4" ht="15.75" customHeight="1">
      <c r="C914" s="1"/>
      <c r="D914" s="2"/>
    </row>
    <row r="915" spans="3:4" ht="15.75" customHeight="1">
      <c r="C915" s="1"/>
      <c r="D915" s="2"/>
    </row>
    <row r="916" spans="3:4" ht="15.75" customHeight="1">
      <c r="C916" s="1"/>
      <c r="D916" s="2"/>
    </row>
    <row r="917" spans="3:4" ht="15.75" customHeight="1">
      <c r="C917" s="1"/>
      <c r="D917" s="2"/>
    </row>
    <row r="918" spans="3:4" ht="15.75" customHeight="1">
      <c r="C918" s="1"/>
      <c r="D918" s="2"/>
    </row>
    <row r="919" spans="3:4" ht="15.75" customHeight="1">
      <c r="C919" s="1"/>
      <c r="D919" s="2"/>
    </row>
    <row r="920" spans="3:4" ht="15.75" customHeight="1">
      <c r="C920" s="1"/>
      <c r="D920" s="2"/>
    </row>
    <row r="921" spans="3:4" ht="15.75" customHeight="1">
      <c r="C921" s="1"/>
      <c r="D921" s="2"/>
    </row>
    <row r="922" spans="3:4" ht="15.75" customHeight="1">
      <c r="C922" s="1"/>
      <c r="D922" s="2"/>
    </row>
    <row r="923" spans="3:4" ht="15.75" customHeight="1">
      <c r="C923" s="1"/>
      <c r="D923" s="2"/>
    </row>
    <row r="924" spans="3:4" ht="15.75" customHeight="1">
      <c r="C924" s="1"/>
      <c r="D924" s="2"/>
    </row>
    <row r="925" spans="3:4" ht="15.75" customHeight="1">
      <c r="C925" s="1"/>
      <c r="D925" s="2"/>
    </row>
    <row r="926" spans="3:4" ht="15.75" customHeight="1">
      <c r="C926" s="1"/>
      <c r="D926" s="2"/>
    </row>
    <row r="927" spans="3:4" ht="15.75" customHeight="1">
      <c r="C927" s="1"/>
      <c r="D927" s="2"/>
    </row>
    <row r="928" spans="3:4" ht="15.75" customHeight="1">
      <c r="C928" s="1"/>
      <c r="D928" s="2"/>
    </row>
    <row r="929" spans="3:4" ht="15.75" customHeight="1">
      <c r="C929" s="1"/>
      <c r="D929" s="2"/>
    </row>
    <row r="930" spans="3:4" ht="15.75" customHeight="1">
      <c r="C930" s="1"/>
      <c r="D930" s="2"/>
    </row>
    <row r="931" spans="3:4" ht="15.75" customHeight="1">
      <c r="C931" s="1"/>
      <c r="D931" s="2"/>
    </row>
    <row r="932" spans="3:4" ht="15.75" customHeight="1">
      <c r="C932" s="1"/>
      <c r="D932" s="2"/>
    </row>
    <row r="933" spans="3:4" ht="15.75" customHeight="1">
      <c r="C933" s="1"/>
      <c r="D933" s="2"/>
    </row>
    <row r="934" spans="3:4" ht="15.75" customHeight="1">
      <c r="C934" s="1"/>
      <c r="D934" s="2"/>
    </row>
    <row r="935" spans="3:4" ht="15.75" customHeight="1">
      <c r="C935" s="1"/>
      <c r="D935" s="2"/>
    </row>
    <row r="936" spans="3:4" ht="15.75" customHeight="1">
      <c r="C936" s="1"/>
      <c r="D936" s="2"/>
    </row>
    <row r="937" spans="3:4" ht="15.75" customHeight="1">
      <c r="C937" s="1"/>
      <c r="D937" s="2"/>
    </row>
    <row r="938" spans="3:4" ht="15.75" customHeight="1">
      <c r="C938" s="1"/>
      <c r="D938" s="2"/>
    </row>
    <row r="939" spans="3:4" ht="15.75" customHeight="1">
      <c r="C939" s="1"/>
      <c r="D939" s="2"/>
    </row>
    <row r="940" spans="3:4" ht="15.75" customHeight="1">
      <c r="C940" s="1"/>
      <c r="D940" s="2"/>
    </row>
    <row r="941" spans="3:4" ht="15.75" customHeight="1">
      <c r="C941" s="1"/>
      <c r="D941" s="2"/>
    </row>
    <row r="942" spans="3:4" ht="15.75" customHeight="1">
      <c r="C942" s="1"/>
      <c r="D942" s="2"/>
    </row>
    <row r="943" spans="3:4" ht="15.75" customHeight="1">
      <c r="C943" s="1"/>
      <c r="D943" s="2"/>
    </row>
    <row r="944" spans="3:4" ht="15.75" customHeight="1">
      <c r="C944" s="1"/>
      <c r="D944" s="2"/>
    </row>
    <row r="945" spans="3:4" ht="15.75" customHeight="1">
      <c r="C945" s="1"/>
      <c r="D945" s="2"/>
    </row>
    <row r="946" spans="3:4" ht="15.75" customHeight="1">
      <c r="C946" s="1"/>
      <c r="D946" s="2"/>
    </row>
    <row r="947" spans="3:4" ht="15.75" customHeight="1">
      <c r="C947" s="1"/>
      <c r="D947" s="2"/>
    </row>
    <row r="948" spans="3:4" ht="15.75" customHeight="1">
      <c r="C948" s="1"/>
      <c r="D948" s="2"/>
    </row>
    <row r="949" spans="3:4" ht="15.75" customHeight="1">
      <c r="C949" s="1"/>
      <c r="D949" s="2"/>
    </row>
    <row r="950" spans="3:4" ht="15.75" customHeight="1">
      <c r="C950" s="1"/>
      <c r="D950" s="2"/>
    </row>
    <row r="951" spans="3:4" ht="15.75" customHeight="1">
      <c r="C951" s="1"/>
      <c r="D951" s="2"/>
    </row>
    <row r="952" spans="3:4" ht="15.75" customHeight="1">
      <c r="C952" s="1"/>
      <c r="D952" s="2"/>
    </row>
    <row r="953" spans="3:4" ht="15.75" customHeight="1">
      <c r="C953" s="1"/>
      <c r="D953" s="2"/>
    </row>
    <row r="954" spans="3:4" ht="15.75" customHeight="1">
      <c r="C954" s="1"/>
      <c r="D954" s="2"/>
    </row>
    <row r="955" spans="3:4" ht="15.75" customHeight="1">
      <c r="C955" s="1"/>
      <c r="D955" s="2"/>
    </row>
    <row r="956" spans="3:4" ht="15.75" customHeight="1">
      <c r="C956" s="1"/>
      <c r="D956" s="2"/>
    </row>
    <row r="957" spans="3:4" ht="15.75" customHeight="1">
      <c r="C957" s="1"/>
      <c r="D957" s="2"/>
    </row>
    <row r="958" spans="3:4" ht="15.75" customHeight="1">
      <c r="C958" s="1"/>
      <c r="D958" s="2"/>
    </row>
    <row r="959" spans="3:4" ht="15.75" customHeight="1">
      <c r="C959" s="1"/>
      <c r="D959" s="2"/>
    </row>
    <row r="960" spans="3:4" ht="15.75" customHeight="1">
      <c r="C960" s="1"/>
      <c r="D960" s="2"/>
    </row>
    <row r="961" spans="3:4" ht="15.75" customHeight="1">
      <c r="C961" s="1"/>
      <c r="D961" s="2"/>
    </row>
    <row r="962" spans="3:4" ht="15.75" customHeight="1">
      <c r="C962" s="1"/>
      <c r="D962" s="2"/>
    </row>
    <row r="963" spans="3:4" ht="15.75" customHeight="1">
      <c r="C963" s="1"/>
      <c r="D963" s="2"/>
    </row>
    <row r="964" spans="3:4" ht="15.75" customHeight="1">
      <c r="C964" s="1"/>
      <c r="D964" s="2"/>
    </row>
    <row r="965" spans="3:4" ht="15.75" customHeight="1">
      <c r="C965" s="1"/>
      <c r="D965" s="2"/>
    </row>
    <row r="966" spans="3:4" ht="15.75" customHeight="1">
      <c r="C966" s="1"/>
      <c r="D966" s="2"/>
    </row>
    <row r="967" spans="3:4" ht="15.75" customHeight="1">
      <c r="C967" s="1"/>
      <c r="D967" s="2"/>
    </row>
    <row r="968" spans="3:4" ht="15.75" customHeight="1">
      <c r="C968" s="1"/>
      <c r="D968" s="2"/>
    </row>
    <row r="969" spans="3:4" ht="15.75" customHeight="1">
      <c r="C969" s="1"/>
      <c r="D969" s="2"/>
    </row>
    <row r="970" spans="3:4" ht="15.75" customHeight="1">
      <c r="C970" s="1"/>
      <c r="D970" s="2"/>
    </row>
    <row r="971" spans="3:4" ht="15.75" customHeight="1">
      <c r="C971" s="1"/>
      <c r="D971" s="2"/>
    </row>
    <row r="972" spans="3:4" ht="15.75" customHeight="1">
      <c r="C972" s="1"/>
      <c r="D972" s="2"/>
    </row>
    <row r="973" spans="3:4" ht="15.75" customHeight="1">
      <c r="C973" s="1"/>
      <c r="D973" s="2"/>
    </row>
    <row r="974" spans="3:4" ht="15.75" customHeight="1">
      <c r="C974" s="1"/>
      <c r="D974" s="2"/>
    </row>
    <row r="975" spans="3:4" ht="15.75" customHeight="1">
      <c r="C975" s="1"/>
      <c r="D975" s="2"/>
    </row>
    <row r="976" spans="3:4" ht="15.75" customHeight="1">
      <c r="C976" s="1"/>
      <c r="D976" s="2"/>
    </row>
    <row r="977" spans="3:4" ht="15.75" customHeight="1">
      <c r="C977" s="1"/>
      <c r="D977" s="2"/>
    </row>
    <row r="978" spans="3:4" ht="15.75" customHeight="1">
      <c r="C978" s="1"/>
      <c r="D978" s="2"/>
    </row>
    <row r="979" spans="3:4" ht="15.75" customHeight="1">
      <c r="C979" s="1"/>
      <c r="D979" s="2"/>
    </row>
    <row r="980" spans="3:4" ht="15.75" customHeight="1">
      <c r="C980" s="1"/>
      <c r="D980" s="2"/>
    </row>
    <row r="981" spans="3:4" ht="15.75" customHeight="1">
      <c r="C981" s="1"/>
      <c r="D981" s="2"/>
    </row>
    <row r="982" spans="3:4" ht="15.75" customHeight="1">
      <c r="C982" s="1"/>
      <c r="D982" s="2"/>
    </row>
    <row r="983" spans="3:4" ht="15.75" customHeight="1">
      <c r="C983" s="1"/>
      <c r="D983" s="2"/>
    </row>
    <row r="984" spans="3:4" ht="15.75" customHeight="1">
      <c r="C984" s="1"/>
      <c r="D984" s="2"/>
    </row>
    <row r="985" spans="3:4" ht="15.75" customHeight="1">
      <c r="C985" s="1"/>
      <c r="D985" s="2"/>
    </row>
    <row r="986" spans="3:4" ht="15.75" customHeight="1">
      <c r="C986" s="1"/>
      <c r="D986" s="2"/>
    </row>
    <row r="987" spans="3:4" ht="15.75" customHeight="1">
      <c r="C987" s="1"/>
      <c r="D987" s="2"/>
    </row>
    <row r="988" spans="3:4" ht="15.75" customHeight="1">
      <c r="C988" s="1"/>
      <c r="D988" s="2"/>
    </row>
    <row r="989" spans="3:4" ht="15.75" customHeight="1">
      <c r="C989" s="1"/>
      <c r="D989" s="2"/>
    </row>
    <row r="990" spans="3:4" ht="15.75" customHeight="1">
      <c r="C990" s="1"/>
      <c r="D990" s="2"/>
    </row>
    <row r="991" spans="3:4" ht="15.75" customHeight="1">
      <c r="C991" s="1"/>
      <c r="D991" s="2"/>
    </row>
    <row r="992" spans="3:4" ht="15.75" customHeight="1">
      <c r="C992" s="1"/>
      <c r="D992" s="2"/>
    </row>
    <row r="993" spans="3:4" ht="15.75" customHeight="1">
      <c r="C993" s="1"/>
      <c r="D993" s="2"/>
    </row>
    <row r="994" spans="3:4" ht="15.75" customHeight="1">
      <c r="C994" s="1"/>
      <c r="D994" s="2"/>
    </row>
    <row r="995" spans="3:4" ht="15.75" customHeight="1">
      <c r="C995" s="1"/>
      <c r="D995" s="2"/>
    </row>
    <row r="996" spans="3:4" ht="15.75" customHeight="1">
      <c r="C996" s="1"/>
      <c r="D996" s="2"/>
    </row>
    <row r="997" spans="3:4" ht="15.75" customHeight="1">
      <c r="C997" s="1"/>
      <c r="D997" s="2"/>
    </row>
  </sheetData>
  <mergeCells count="8">
    <mergeCell ref="B59:D59"/>
    <mergeCell ref="B73:D73"/>
    <mergeCell ref="B80:D80"/>
    <mergeCell ref="B16:D16"/>
    <mergeCell ref="B24:D24"/>
    <mergeCell ref="B33:D33"/>
    <mergeCell ref="B43:D43"/>
    <mergeCell ref="B51:D51"/>
  </mergeCells>
  <conditionalFormatting sqref="B17:D997">
    <cfRule type="expression" dxfId="4" priority="1">
      <formula>$A17=TRUE</formula>
    </cfRule>
  </conditionalFormatting>
  <dataValidations count="1">
    <dataValidation type="list" allowBlank="1" showErrorMessage="1" sqref="C2" xr:uid="{00000000-0002-0000-0200-000000000000}">
      <formula1>"Summer,Winter"</formula1>
    </dataValidation>
  </dataValidation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995"/>
  <sheetViews>
    <sheetView showGridLines="0" topLeftCell="A16" workbookViewId="0">
      <selection activeCell="K8" sqref="K8"/>
    </sheetView>
  </sheetViews>
  <sheetFormatPr defaultColWidth="12.6328125" defaultRowHeight="15" customHeight="1" outlineLevelCol="1"/>
  <cols>
    <col min="1" max="1" width="3" customWidth="1"/>
    <col min="2" max="2" width="4.90625" hidden="1" customWidth="1"/>
    <col min="3" max="4" width="34.7265625" customWidth="1"/>
    <col min="5" max="5" width="18.26953125" customWidth="1"/>
    <col min="6" max="6" width="1.6328125" customWidth="1"/>
    <col min="7" max="7" width="18.6328125" hidden="1" customWidth="1" outlineLevel="1"/>
    <col min="8" max="11" width="8.6328125" hidden="1" customWidth="1" outlineLevel="1"/>
    <col min="12" max="12" width="8.6328125" customWidth="1" collapsed="1"/>
    <col min="13" max="16" width="8.6328125" customWidth="1"/>
  </cols>
  <sheetData>
    <row r="1" spans="2:16" ht="14.5">
      <c r="D1" s="1"/>
      <c r="E1" s="2"/>
    </row>
    <row r="2" spans="2:16" ht="14.5">
      <c r="C2" s="3" t="s">
        <v>0</v>
      </c>
      <c r="D2" s="4" t="s">
        <v>1</v>
      </c>
      <c r="E2" s="2"/>
    </row>
    <row r="3" spans="2:16" ht="14.5">
      <c r="C3" s="5"/>
      <c r="E3" s="2"/>
    </row>
    <row r="4" spans="2:16" ht="14.5">
      <c r="C4" s="6">
        <f>SUMIFS(E17:E89, D17:D89, "&lt;=14")</f>
        <v>1986.06</v>
      </c>
      <c r="D4" s="7" t="s">
        <v>2</v>
      </c>
      <c r="E4" s="2"/>
    </row>
    <row r="5" spans="2:16" ht="14.5">
      <c r="C5" s="6">
        <f>SUMIFS(E17:E89, D17:D89, "&gt;=15")</f>
        <v>2165.56</v>
      </c>
      <c r="D5" s="7" t="s">
        <v>3</v>
      </c>
      <c r="E5" s="2"/>
    </row>
    <row r="6" spans="2:16" ht="14.5">
      <c r="D6" s="1"/>
    </row>
    <row r="7" spans="2:16" ht="21">
      <c r="C7" s="8" t="s">
        <v>4</v>
      </c>
      <c r="D7" s="9" t="s">
        <v>5</v>
      </c>
      <c r="E7" s="8" t="s">
        <v>6</v>
      </c>
      <c r="G7" s="35" t="s">
        <v>78</v>
      </c>
      <c r="H7" s="36" t="s">
        <v>4</v>
      </c>
      <c r="I7" s="36" t="s">
        <v>5</v>
      </c>
      <c r="J7" s="36" t="s">
        <v>6</v>
      </c>
      <c r="K7" s="35" t="s">
        <v>79</v>
      </c>
    </row>
    <row r="8" spans="2:16" ht="14.5">
      <c r="B8" s="10" t="b">
        <f t="shared" ref="B8:B17" si="0">IFERROR(NOT(ISBLANK(D8)), FALSE)</f>
        <v>1</v>
      </c>
      <c r="C8" s="10" t="s">
        <v>9</v>
      </c>
      <c r="D8" s="1">
        <v>15</v>
      </c>
      <c r="E8" s="29">
        <v>3205.07</v>
      </c>
      <c r="G8" s="10" t="b">
        <f t="shared" ref="G8:G96" si="1">NOT(ISBLANK(D8))</f>
        <v>1</v>
      </c>
      <c r="H8" s="10" t="str">
        <f ca="1">IFERROR(__xludf.DUMMYFUNCTION("FILTER($C$8:$E$96, $G8:$G$96)"),"CVS Income")</f>
        <v>CVS Income</v>
      </c>
      <c r="I8" s="10">
        <f ca="1">IFERROR(__xludf.DUMMYFUNCTION("""COMPUTED_VALUE"""),15)</f>
        <v>15</v>
      </c>
      <c r="J8" s="25">
        <f ca="1">IFERROR(__xludf.DUMMYFUNCTION("""COMPUTED_VALUE"""),3205.07)</f>
        <v>3205.07</v>
      </c>
      <c r="K8" s="10" t="b">
        <f t="shared" ref="K8:K96" ca="1" si="2">NOT(ISBLANK(H8))</f>
        <v>1</v>
      </c>
    </row>
    <row r="9" spans="2:16" ht="14.5">
      <c r="B9" s="10" t="b">
        <f t="shared" si="0"/>
        <v>1</v>
      </c>
      <c r="C9" s="10" t="s">
        <v>9</v>
      </c>
      <c r="D9" s="1">
        <v>30</v>
      </c>
      <c r="E9" s="29">
        <v>3205.07</v>
      </c>
      <c r="G9" s="10" t="b">
        <f t="shared" si="1"/>
        <v>1</v>
      </c>
      <c r="H9" s="10" t="str">
        <f ca="1">IFERROR(__xludf.DUMMYFUNCTION("""COMPUTED_VALUE"""),"CVS Income")</f>
        <v>CVS Income</v>
      </c>
      <c r="I9" s="10">
        <f ca="1">IFERROR(__xludf.DUMMYFUNCTION("""COMPUTED_VALUE"""),30)</f>
        <v>30</v>
      </c>
      <c r="J9" s="25">
        <f ca="1">IFERROR(__xludf.DUMMYFUNCTION("""COMPUTED_VALUE"""),3205.07)</f>
        <v>3205.07</v>
      </c>
      <c r="K9" s="10" t="b">
        <f t="shared" ca="1" si="2"/>
        <v>1</v>
      </c>
    </row>
    <row r="10" spans="2:16" ht="14.5">
      <c r="B10" s="10" t="b">
        <f t="shared" si="0"/>
        <v>0</v>
      </c>
      <c r="C10" s="10" t="s">
        <v>10</v>
      </c>
      <c r="D10" s="1"/>
      <c r="E10" s="12"/>
      <c r="G10" s="10" t="b">
        <f t="shared" si="1"/>
        <v>0</v>
      </c>
      <c r="H10" s="10" t="str">
        <f ca="1">IFERROR(__xludf.DUMMYFUNCTION("""COMPUTED_VALUE"""),"BOA Customized Rewards")</f>
        <v>BOA Customized Rewards</v>
      </c>
      <c r="I10" s="10">
        <f ca="1">IFERROR(__xludf.DUMMYFUNCTION("""COMPUTED_VALUE"""),9)</f>
        <v>9</v>
      </c>
      <c r="J10" s="25"/>
      <c r="K10" s="10" t="b">
        <f t="shared" ca="1" si="2"/>
        <v>1</v>
      </c>
    </row>
    <row r="11" spans="2:16" ht="14.5">
      <c r="B11" s="10" t="b">
        <f t="shared" si="0"/>
        <v>0</v>
      </c>
      <c r="C11" s="10" t="s">
        <v>11</v>
      </c>
      <c r="D11" s="1"/>
      <c r="E11" s="12"/>
      <c r="G11" s="10" t="b">
        <f t="shared" si="1"/>
        <v>0</v>
      </c>
      <c r="H11" s="10" t="str">
        <f ca="1">IFERROR(__xludf.DUMMYFUNCTION("""COMPUTED_VALUE"""),"BOA Unlimited Rewards")</f>
        <v>BOA Unlimited Rewards</v>
      </c>
      <c r="I11" s="10">
        <f ca="1">IFERROR(__xludf.DUMMYFUNCTION("""COMPUTED_VALUE"""),4)</f>
        <v>4</v>
      </c>
      <c r="J11" s="25">
        <f ca="1">IFERROR(__xludf.DUMMYFUNCTION("""COMPUTED_VALUE"""),151)</f>
        <v>151</v>
      </c>
      <c r="K11" s="10" t="b">
        <f t="shared" ca="1" si="2"/>
        <v>1</v>
      </c>
    </row>
    <row r="12" spans="2:16" ht="14.5">
      <c r="B12" s="10" t="b">
        <f t="shared" si="0"/>
        <v>0</v>
      </c>
      <c r="C12" s="10" t="s">
        <v>12</v>
      </c>
      <c r="D12" s="1"/>
      <c r="E12" s="29"/>
      <c r="G12" s="10" t="b">
        <f t="shared" si="1"/>
        <v>0</v>
      </c>
      <c r="H12" s="10" t="str">
        <f ca="1">IFERROR(__xludf.DUMMYFUNCTION("""COMPUTED_VALUE"""),"CHASE Freedom")</f>
        <v>CHASE Freedom</v>
      </c>
      <c r="I12" s="10">
        <f ca="1">IFERROR(__xludf.DUMMYFUNCTION("""COMPUTED_VALUE"""),15)</f>
        <v>15</v>
      </c>
      <c r="J12" s="25"/>
      <c r="K12" s="10" t="b">
        <f t="shared" ca="1" si="2"/>
        <v>1</v>
      </c>
    </row>
    <row r="13" spans="2:16" ht="8.25" customHeight="1">
      <c r="B13" s="10" t="b">
        <f t="shared" si="0"/>
        <v>0</v>
      </c>
      <c r="C13" s="13"/>
      <c r="D13" s="14"/>
      <c r="E13" s="15"/>
      <c r="G13" s="10" t="b">
        <f t="shared" si="1"/>
        <v>0</v>
      </c>
      <c r="H13" s="10" t="str">
        <f ca="1">IFERROR(__xludf.DUMMYFUNCTION("""COMPUTED_VALUE"""),"CITI Diamond Preferred")</f>
        <v>CITI Diamond Preferred</v>
      </c>
      <c r="I13" s="10">
        <f ca="1">IFERROR(__xludf.DUMMYFUNCTION("""COMPUTED_VALUE"""),15)</f>
        <v>15</v>
      </c>
      <c r="J13" s="25">
        <f ca="1">IFERROR(__xludf.DUMMYFUNCTION("""COMPUTED_VALUE"""),120)</f>
        <v>120</v>
      </c>
      <c r="K13" s="10" t="b">
        <f t="shared" ca="1" si="2"/>
        <v>1</v>
      </c>
    </row>
    <row r="14" spans="2:16" ht="23.5">
      <c r="B14" s="10" t="b">
        <f t="shared" si="0"/>
        <v>0</v>
      </c>
      <c r="C14" s="17" t="s">
        <v>13</v>
      </c>
      <c r="D14" s="18"/>
      <c r="E14" s="19">
        <f>SUM(E8:E12)</f>
        <v>6410.14</v>
      </c>
      <c r="F14" s="16"/>
      <c r="G14" s="10" t="b">
        <f t="shared" si="1"/>
        <v>0</v>
      </c>
      <c r="H14" s="10" t="str">
        <f ca="1">IFERROR(__xludf.DUMMYFUNCTION("""COMPUTED_VALUE"""),"CITIZENS Clear Value")</f>
        <v>CITIZENS Clear Value</v>
      </c>
      <c r="I14" s="10">
        <f ca="1">IFERROR(__xludf.DUMMYFUNCTION("""COMPUTED_VALUE"""),13)</f>
        <v>13</v>
      </c>
      <c r="J14" s="25">
        <f ca="1">IFERROR(__xludf.DUMMYFUNCTION("""COMPUTED_VALUE"""),64)</f>
        <v>64</v>
      </c>
      <c r="K14" s="10" t="b">
        <f t="shared" ca="1" si="2"/>
        <v>1</v>
      </c>
      <c r="L14" s="16"/>
      <c r="M14" s="16"/>
      <c r="N14" s="16"/>
      <c r="O14" s="16"/>
      <c r="P14" s="16"/>
    </row>
    <row r="15" spans="2:16" ht="8.25" customHeight="1">
      <c r="B15" s="10" t="b">
        <f t="shared" si="0"/>
        <v>0</v>
      </c>
      <c r="C15" s="13"/>
      <c r="D15" s="14"/>
      <c r="E15" s="15"/>
      <c r="G15" s="10" t="b">
        <f t="shared" si="1"/>
        <v>0</v>
      </c>
      <c r="H15" s="10" t="str">
        <f ca="1">IFERROR(__xludf.DUMMYFUNCTION("""COMPUTED_VALUE"""),"CITIZENS HELOC")</f>
        <v>CITIZENS HELOC</v>
      </c>
      <c r="I15" s="10">
        <f ca="1">IFERROR(__xludf.DUMMYFUNCTION("""COMPUTED_VALUE"""),15)</f>
        <v>15</v>
      </c>
      <c r="J15" s="25">
        <f ca="1">IFERROR(__xludf.DUMMYFUNCTION("""COMPUTED_VALUE"""),95.95)</f>
        <v>95.95</v>
      </c>
      <c r="K15" s="10" t="b">
        <f t="shared" ca="1" si="2"/>
        <v>1</v>
      </c>
    </row>
    <row r="16" spans="2:16" ht="18.5">
      <c r="B16" s="10" t="b">
        <f t="shared" si="0"/>
        <v>0</v>
      </c>
      <c r="C16" s="105" t="s">
        <v>14</v>
      </c>
      <c r="D16" s="106"/>
      <c r="E16" s="106"/>
      <c r="G16" s="10" t="b">
        <f t="shared" si="1"/>
        <v>0</v>
      </c>
      <c r="H16" s="10" t="str">
        <f ca="1">IFERROR(__xludf.DUMMYFUNCTION("""COMPUTED_VALUE"""),"UPSTART Debt Consolidation")</f>
        <v>UPSTART Debt Consolidation</v>
      </c>
      <c r="I16" s="10">
        <f ca="1">IFERROR(__xludf.DUMMYFUNCTION("""COMPUTED_VALUE"""),15)</f>
        <v>15</v>
      </c>
      <c r="J16" s="25">
        <f ca="1">IFERROR(__xludf.DUMMYFUNCTION("""COMPUTED_VALUE"""),181.13)</f>
        <v>181.13</v>
      </c>
      <c r="K16" s="10" t="b">
        <f t="shared" ca="1" si="2"/>
        <v>1</v>
      </c>
    </row>
    <row r="17" spans="2:11" ht="15.75" customHeight="1">
      <c r="B17" s="10" t="b">
        <f t="shared" si="0"/>
        <v>1</v>
      </c>
      <c r="C17" s="10" t="s">
        <v>15</v>
      </c>
      <c r="D17" s="1">
        <v>9</v>
      </c>
      <c r="E17" s="2"/>
      <c r="G17" s="10" t="b">
        <f t="shared" si="1"/>
        <v>1</v>
      </c>
      <c r="H17" s="10" t="str">
        <f ca="1">IFERROR(__xludf.DUMMYFUNCTION("""COMPUTED_VALUE"""),"AQUA FINANCE Roofing Replacement")</f>
        <v>AQUA FINANCE Roofing Replacement</v>
      </c>
      <c r="I17" s="10">
        <f ca="1">IFERROR(__xludf.DUMMYFUNCTION("""COMPUTED_VALUE"""),6)</f>
        <v>6</v>
      </c>
      <c r="J17" s="25">
        <f ca="1">IFERROR(__xludf.DUMMYFUNCTION("""COMPUTED_VALUE"""),268.44)</f>
        <v>268.44</v>
      </c>
      <c r="K17" s="10" t="b">
        <f t="shared" ca="1" si="2"/>
        <v>1</v>
      </c>
    </row>
    <row r="18" spans="2:11" ht="15.75" customHeight="1">
      <c r="C18" s="10" t="s">
        <v>16</v>
      </c>
      <c r="D18" s="1">
        <v>4</v>
      </c>
      <c r="E18" s="29">
        <v>151</v>
      </c>
      <c r="G18" s="10" t="b">
        <f t="shared" si="1"/>
        <v>1</v>
      </c>
      <c r="H18" s="10" t="str">
        <f ca="1">IFERROR(__xludf.DUMMYFUNCTION("""COMPUTED_VALUE"""),"TD Auto Loan")</f>
        <v>TD Auto Loan</v>
      </c>
      <c r="I18" s="10">
        <f ca="1">IFERROR(__xludf.DUMMYFUNCTION("""COMPUTED_VALUE"""),17)</f>
        <v>17</v>
      </c>
      <c r="J18" s="25">
        <f ca="1">IFERROR(__xludf.DUMMYFUNCTION("""COMPUTED_VALUE"""),595)</f>
        <v>595</v>
      </c>
      <c r="K18" s="10" t="b">
        <f t="shared" ca="1" si="2"/>
        <v>1</v>
      </c>
    </row>
    <row r="19" spans="2:11" ht="15.75" customHeight="1">
      <c r="C19" s="10" t="s">
        <v>17</v>
      </c>
      <c r="D19" s="1">
        <v>15</v>
      </c>
      <c r="E19" s="2"/>
      <c r="G19" s="10" t="b">
        <f t="shared" si="1"/>
        <v>1</v>
      </c>
      <c r="H19" s="10" t="str">
        <f ca="1">IFERROR(__xludf.DUMMYFUNCTION("""COMPUTED_VALUE"""),"Owner Contribution to Mortgage")</f>
        <v>Owner Contribution to Mortgage</v>
      </c>
      <c r="I19" s="10">
        <f ca="1">IFERROR(__xludf.DUMMYFUNCTION("""COMPUTED_VALUE"""),1)</f>
        <v>1</v>
      </c>
      <c r="J19" s="25">
        <f ca="1">IFERROR(__xludf.DUMMYFUNCTION("""COMPUTED_VALUE"""),146.54)</f>
        <v>146.54</v>
      </c>
      <c r="K19" s="10" t="b">
        <f t="shared" ca="1" si="2"/>
        <v>1</v>
      </c>
    </row>
    <row r="20" spans="2:11" ht="15.75" customHeight="1">
      <c r="C20" s="10" t="s">
        <v>19</v>
      </c>
      <c r="D20" s="1">
        <v>15</v>
      </c>
      <c r="E20" s="2">
        <v>120</v>
      </c>
      <c r="G20" s="10" t="b">
        <f t="shared" si="1"/>
        <v>1</v>
      </c>
      <c r="H20" s="10" t="str">
        <f ca="1">IFERROR(__xludf.DUMMYFUNCTION("""COMPUTED_VALUE"""),"Landlord Electricity")</f>
        <v>Landlord Electricity</v>
      </c>
      <c r="I20" s="10">
        <f ca="1">IFERROR(__xludf.DUMMYFUNCTION("""COMPUTED_VALUE"""),1)</f>
        <v>1</v>
      </c>
      <c r="J20" s="25">
        <f ca="1">IFERROR(__xludf.DUMMYFUNCTION("""COMPUTED_VALUE"""),33.16)</f>
        <v>33.159999999999997</v>
      </c>
      <c r="K20" s="10" t="b">
        <f t="shared" ca="1" si="2"/>
        <v>1</v>
      </c>
    </row>
    <row r="21" spans="2:11" ht="15.75" customHeight="1">
      <c r="B21" s="10" t="b">
        <f t="shared" ref="B21:B24" si="3">IFERROR(NOT(ISBLANK(D21)), FALSE)</f>
        <v>1</v>
      </c>
      <c r="C21" s="10" t="s">
        <v>20</v>
      </c>
      <c r="D21" s="1">
        <v>13</v>
      </c>
      <c r="E21" s="2">
        <v>64</v>
      </c>
      <c r="G21" s="10" t="b">
        <f t="shared" si="1"/>
        <v>1</v>
      </c>
      <c r="H21" s="10" t="str">
        <f ca="1">IFERROR(__xludf.DUMMYFUNCTION("""COMPUTED_VALUE"""),"Maintenance (Lawn)")</f>
        <v>Maintenance (Lawn)</v>
      </c>
      <c r="I21" s="10">
        <f ca="1">IFERROR(__xludf.DUMMYFUNCTION("""COMPUTED_VALUE"""),10)</f>
        <v>10</v>
      </c>
      <c r="J21" s="25">
        <f ca="1">IFERROR(__xludf.DUMMYFUNCTION("""COMPUTED_VALUE"""),80)</f>
        <v>80</v>
      </c>
      <c r="K21" s="10" t="b">
        <f t="shared" ca="1" si="2"/>
        <v>1</v>
      </c>
    </row>
    <row r="22" spans="2:11" ht="8.25" customHeight="1">
      <c r="B22" s="10" t="b">
        <f t="shared" si="3"/>
        <v>0</v>
      </c>
      <c r="C22" s="13"/>
      <c r="D22" s="14"/>
      <c r="E22" s="15"/>
      <c r="G22" s="10" t="b">
        <f t="shared" si="1"/>
        <v>0</v>
      </c>
      <c r="H22" s="10" t="str">
        <f ca="1">IFERROR(__xludf.DUMMYFUNCTION("""COMPUTED_VALUE"""),"Maintenance (Lawn)")</f>
        <v>Maintenance (Lawn)</v>
      </c>
      <c r="I22" s="10">
        <f ca="1">IFERROR(__xludf.DUMMYFUNCTION("""COMPUTED_VALUE"""),24)</f>
        <v>24</v>
      </c>
      <c r="J22" s="25">
        <f ca="1">IFERROR(__xludf.DUMMYFUNCTION("""COMPUTED_VALUE"""),80)</f>
        <v>80</v>
      </c>
      <c r="K22" s="10" t="b">
        <f t="shared" ca="1" si="2"/>
        <v>1</v>
      </c>
    </row>
    <row r="23" spans="2:11" ht="15.75" customHeight="1">
      <c r="B23" s="10" t="b">
        <f t="shared" si="3"/>
        <v>0</v>
      </c>
      <c r="C23" s="105" t="s">
        <v>21</v>
      </c>
      <c r="D23" s="106"/>
      <c r="E23" s="106"/>
      <c r="G23" s="10" t="b">
        <f t="shared" si="1"/>
        <v>0</v>
      </c>
      <c r="H23" s="10" t="str">
        <f ca="1">IFERROR(__xludf.DUMMYFUNCTION("""COMPUTED_VALUE"""),"Blink Security")</f>
        <v>Blink Security</v>
      </c>
      <c r="I23" s="10">
        <f ca="1">IFERROR(__xludf.DUMMYFUNCTION("""COMPUTED_VALUE"""),1)</f>
        <v>1</v>
      </c>
      <c r="J23" s="25">
        <f ca="1">IFERROR(__xludf.DUMMYFUNCTION("""COMPUTED_VALUE"""),10.64)</f>
        <v>10.64</v>
      </c>
      <c r="K23" s="10" t="b">
        <f t="shared" ca="1" si="2"/>
        <v>1</v>
      </c>
    </row>
    <row r="24" spans="2:11" ht="15.75" customHeight="1">
      <c r="B24" s="10" t="b">
        <f t="shared" si="3"/>
        <v>1</v>
      </c>
      <c r="C24" s="24" t="s">
        <v>75</v>
      </c>
      <c r="D24" s="31">
        <v>15</v>
      </c>
      <c r="E24" s="37">
        <v>95.95</v>
      </c>
      <c r="G24" s="10" t="b">
        <f t="shared" si="1"/>
        <v>1</v>
      </c>
      <c r="H24" s="10" t="str">
        <f ca="1">IFERROR(__xludf.DUMMYFUNCTION("""COMPUTED_VALUE"""),"Avail Portal")</f>
        <v>Avail Portal</v>
      </c>
      <c r="I24" s="10">
        <f ca="1">IFERROR(__xludf.DUMMYFUNCTION("""COMPUTED_VALUE"""),1)</f>
        <v>1</v>
      </c>
      <c r="J24" s="25">
        <f ca="1">IFERROR(__xludf.DUMMYFUNCTION("""COMPUTED_VALUE"""),18)</f>
        <v>18</v>
      </c>
      <c r="K24" s="10" t="b">
        <f t="shared" ca="1" si="2"/>
        <v>1</v>
      </c>
    </row>
    <row r="25" spans="2:11" ht="15.75" customHeight="1">
      <c r="C25" s="10" t="s">
        <v>23</v>
      </c>
      <c r="D25" s="1">
        <v>15</v>
      </c>
      <c r="E25" s="2">
        <v>181.13</v>
      </c>
      <c r="G25" s="10" t="b">
        <f t="shared" si="1"/>
        <v>1</v>
      </c>
      <c r="H25" s="10" t="str">
        <f ca="1">IFERROR(__xludf.DUMMYFUNCTION("""COMPUTED_VALUE"""),"Auto Insurance")</f>
        <v>Auto Insurance</v>
      </c>
      <c r="I25" s="10">
        <f ca="1">IFERROR(__xludf.DUMMYFUNCTION("""COMPUTED_VALUE"""),4)</f>
        <v>4</v>
      </c>
      <c r="J25" s="25">
        <f ca="1">IFERROR(__xludf.DUMMYFUNCTION("""COMPUTED_VALUE"""),353.71)</f>
        <v>353.71</v>
      </c>
      <c r="K25" s="10" t="b">
        <f t="shared" ca="1" si="2"/>
        <v>1</v>
      </c>
    </row>
    <row r="26" spans="2:11" ht="15.75" customHeight="1">
      <c r="C26" s="38" t="s">
        <v>26</v>
      </c>
      <c r="D26" s="39">
        <v>6</v>
      </c>
      <c r="E26" s="40">
        <v>268.44</v>
      </c>
      <c r="G26" s="10" t="b">
        <f t="shared" si="1"/>
        <v>1</v>
      </c>
      <c r="H26" s="10" t="str">
        <f ca="1">IFERROR(__xludf.DUMMYFUNCTION("""COMPUTED_VALUE"""),"Heating/Natural Gas")</f>
        <v>Heating/Natural Gas</v>
      </c>
      <c r="I26" s="10">
        <f ca="1">IFERROR(__xludf.DUMMYFUNCTION("""COMPUTED_VALUE"""),15)</f>
        <v>15</v>
      </c>
      <c r="J26" s="25">
        <f ca="1">IFERROR(__xludf.DUMMYFUNCTION("""COMPUTED_VALUE"""),175)</f>
        <v>175</v>
      </c>
      <c r="K26" s="10" t="b">
        <f t="shared" ca="1" si="2"/>
        <v>1</v>
      </c>
    </row>
    <row r="27" spans="2:11" ht="15.75" customHeight="1">
      <c r="B27" s="10" t="b">
        <f t="shared" ref="B27:B80" si="4">IFERROR(NOT(ISBLANK(D27)), FALSE)</f>
        <v>1</v>
      </c>
      <c r="C27" s="41" t="s">
        <v>76</v>
      </c>
      <c r="D27" s="42">
        <v>17</v>
      </c>
      <c r="E27" s="43">
        <v>595</v>
      </c>
      <c r="G27" s="10" t="b">
        <f t="shared" si="1"/>
        <v>1</v>
      </c>
      <c r="H27" s="10" t="str">
        <f ca="1">IFERROR(__xludf.DUMMYFUNCTION("""COMPUTED_VALUE"""),"Electricity")</f>
        <v>Electricity</v>
      </c>
      <c r="I27" s="10">
        <f ca="1">IFERROR(__xludf.DUMMYFUNCTION("""COMPUTED_VALUE"""),1)</f>
        <v>1</v>
      </c>
      <c r="J27" s="25">
        <f ca="1">IFERROR(__xludf.DUMMYFUNCTION("""COMPUTED_VALUE"""),192.43)</f>
        <v>192.43</v>
      </c>
      <c r="K27" s="10" t="b">
        <f t="shared" ca="1" si="2"/>
        <v>1</v>
      </c>
    </row>
    <row r="28" spans="2:11" ht="15.75" customHeight="1">
      <c r="B28" s="10" t="b">
        <f t="shared" si="4"/>
        <v>0</v>
      </c>
      <c r="C28" s="38" t="s">
        <v>28</v>
      </c>
      <c r="D28" s="42"/>
      <c r="E28" s="43"/>
      <c r="G28" s="10" t="b">
        <f t="shared" si="1"/>
        <v>0</v>
      </c>
      <c r="H28" s="10" t="str">
        <f ca="1">IFERROR(__xludf.DUMMYFUNCTION("""COMPUTED_VALUE"""),"Internet")</f>
        <v>Internet</v>
      </c>
      <c r="I28" s="10">
        <f ca="1">IFERROR(__xludf.DUMMYFUNCTION("""COMPUTED_VALUE"""),27)</f>
        <v>27</v>
      </c>
      <c r="J28" s="25">
        <f ca="1">IFERROR(__xludf.DUMMYFUNCTION("""COMPUTED_VALUE"""),74.95)</f>
        <v>74.95</v>
      </c>
      <c r="K28" s="10" t="b">
        <f t="shared" ca="1" si="2"/>
        <v>1</v>
      </c>
    </row>
    <row r="29" spans="2:11" ht="8.25" customHeight="1">
      <c r="B29" s="10" t="b">
        <f t="shared" si="4"/>
        <v>0</v>
      </c>
      <c r="C29" s="44"/>
      <c r="D29" s="45"/>
      <c r="E29" s="46"/>
      <c r="G29" s="10" t="b">
        <f t="shared" si="1"/>
        <v>0</v>
      </c>
      <c r="H29" s="10" t="str">
        <f ca="1">IFERROR(__xludf.DUMMYFUNCTION("""COMPUTED_VALUE"""),"Life Insurance")</f>
        <v>Life Insurance</v>
      </c>
      <c r="I29" s="10">
        <f ca="1">IFERROR(__xludf.DUMMYFUNCTION("""COMPUTED_VALUE"""),16)</f>
        <v>16</v>
      </c>
      <c r="J29" s="25">
        <f ca="1">IFERROR(__xludf.DUMMYFUNCTION("""COMPUTED_VALUE"""),82.37)</f>
        <v>82.37</v>
      </c>
      <c r="K29" s="10" t="b">
        <f t="shared" ca="1" si="2"/>
        <v>1</v>
      </c>
    </row>
    <row r="30" spans="2:11" ht="15.75" customHeight="1">
      <c r="B30" s="10" t="b">
        <f t="shared" si="4"/>
        <v>0</v>
      </c>
      <c r="C30" s="107" t="s">
        <v>29</v>
      </c>
      <c r="D30" s="106"/>
      <c r="E30" s="106"/>
      <c r="G30" s="10" t="b">
        <f t="shared" si="1"/>
        <v>0</v>
      </c>
      <c r="H30" s="10" t="str">
        <f ca="1">IFERROR(__xludf.DUMMYFUNCTION("""COMPUTED_VALUE"""),"Groceries + Toiletries")</f>
        <v>Groceries + Toiletries</v>
      </c>
      <c r="I30" s="10">
        <f ca="1">IFERROR(__xludf.DUMMYFUNCTION("""COMPUTED_VALUE"""),3)</f>
        <v>3</v>
      </c>
      <c r="J30" s="25">
        <f ca="1">IFERROR(__xludf.DUMMYFUNCTION("""COMPUTED_VALUE"""),250)</f>
        <v>250</v>
      </c>
      <c r="K30" s="10" t="b">
        <f t="shared" ca="1" si="2"/>
        <v>1</v>
      </c>
    </row>
    <row r="31" spans="2:11" ht="15.75" customHeight="1">
      <c r="B31" s="10" t="b">
        <f t="shared" si="4"/>
        <v>1</v>
      </c>
      <c r="C31" s="38" t="s">
        <v>30</v>
      </c>
      <c r="D31" s="42">
        <v>1</v>
      </c>
      <c r="E31" s="40">
        <v>146.54</v>
      </c>
      <c r="G31" s="10" t="b">
        <f t="shared" si="1"/>
        <v>1</v>
      </c>
      <c r="H31" s="10" t="str">
        <f ca="1">IFERROR(__xludf.DUMMYFUNCTION("""COMPUTED_VALUE"""),"Groceries + Toiletries")</f>
        <v>Groceries + Toiletries</v>
      </c>
      <c r="I31" s="10">
        <f ca="1">IFERROR(__xludf.DUMMYFUNCTION("""COMPUTED_VALUE"""),10)</f>
        <v>10</v>
      </c>
      <c r="J31" s="25">
        <f ca="1">IFERROR(__xludf.DUMMYFUNCTION("""COMPUTED_VALUE"""),250)</f>
        <v>250</v>
      </c>
      <c r="K31" s="10" t="b">
        <f t="shared" ca="1" si="2"/>
        <v>1</v>
      </c>
    </row>
    <row r="32" spans="2:11" ht="15.75" customHeight="1">
      <c r="B32" s="10" t="b">
        <f t="shared" si="4"/>
        <v>1</v>
      </c>
      <c r="C32" s="10" t="s">
        <v>31</v>
      </c>
      <c r="D32" s="31">
        <v>1</v>
      </c>
      <c r="E32" s="2">
        <v>33.159999999999997</v>
      </c>
      <c r="G32" s="10" t="b">
        <f t="shared" si="1"/>
        <v>1</v>
      </c>
      <c r="H32" s="10" t="str">
        <f ca="1">IFERROR(__xludf.DUMMYFUNCTION("""COMPUTED_VALUE"""),"Groceries + Toiletries")</f>
        <v>Groceries + Toiletries</v>
      </c>
      <c r="I32" s="10">
        <f ca="1">IFERROR(__xludf.DUMMYFUNCTION("""COMPUTED_VALUE"""),17)</f>
        <v>17</v>
      </c>
      <c r="J32" s="25">
        <f ca="1">IFERROR(__xludf.DUMMYFUNCTION("""COMPUTED_VALUE"""),250)</f>
        <v>250</v>
      </c>
      <c r="K32" s="10" t="b">
        <f t="shared" ca="1" si="2"/>
        <v>1</v>
      </c>
    </row>
    <row r="33" spans="2:11" ht="15.75" customHeight="1">
      <c r="B33" s="10" t="b">
        <f t="shared" si="4"/>
        <v>0</v>
      </c>
      <c r="C33" s="10" t="s">
        <v>32</v>
      </c>
      <c r="D33" s="1"/>
      <c r="E33" s="2">
        <v>130</v>
      </c>
      <c r="G33" s="10" t="b">
        <f t="shared" si="1"/>
        <v>0</v>
      </c>
      <c r="H33" s="10" t="str">
        <f ca="1">IFERROR(__xludf.DUMMYFUNCTION("""COMPUTED_VALUE"""),"Groceries + Toiletries")</f>
        <v>Groceries + Toiletries</v>
      </c>
      <c r="I33" s="10">
        <f ca="1">IFERROR(__xludf.DUMMYFUNCTION("""COMPUTED_VALUE"""),24)</f>
        <v>24</v>
      </c>
      <c r="J33" s="25">
        <f ca="1">IFERROR(__xludf.DUMMYFUNCTION("""COMPUTED_VALUE"""),250)</f>
        <v>250</v>
      </c>
      <c r="K33" s="10" t="b">
        <f t="shared" ca="1" si="2"/>
        <v>1</v>
      </c>
    </row>
    <row r="34" spans="2:11" ht="15.75" customHeight="1">
      <c r="B34" s="10" t="b">
        <f t="shared" si="4"/>
        <v>1</v>
      </c>
      <c r="C34" s="10" t="s">
        <v>33</v>
      </c>
      <c r="D34" s="31">
        <v>10</v>
      </c>
      <c r="E34" s="2">
        <f t="shared" ref="E34:E35" si="5">IF($D$2="Summer", 80, 0)</f>
        <v>80</v>
      </c>
      <c r="G34" s="10" t="b">
        <f t="shared" si="1"/>
        <v>1</v>
      </c>
      <c r="H34" s="10" t="str">
        <f ca="1">IFERROR(__xludf.DUMMYFUNCTION("""COMPUTED_VALUE"""),"Phone (Nykosi)")</f>
        <v>Phone (Nykosi)</v>
      </c>
      <c r="I34" s="10">
        <f ca="1">IFERROR(__xludf.DUMMYFUNCTION("""COMPUTED_VALUE"""),16)</f>
        <v>16</v>
      </c>
      <c r="J34" s="25">
        <f ca="1">IFERROR(__xludf.DUMMYFUNCTION("""COMPUTED_VALUE"""),30)</f>
        <v>30</v>
      </c>
      <c r="K34" s="10" t="b">
        <f t="shared" ca="1" si="2"/>
        <v>1</v>
      </c>
    </row>
    <row r="35" spans="2:11" ht="15.75" customHeight="1">
      <c r="B35" s="10" t="b">
        <f t="shared" si="4"/>
        <v>1</v>
      </c>
      <c r="C35" s="10" t="s">
        <v>33</v>
      </c>
      <c r="D35" s="31">
        <v>24</v>
      </c>
      <c r="E35" s="2">
        <f t="shared" si="5"/>
        <v>80</v>
      </c>
      <c r="G35" s="10" t="b">
        <f t="shared" si="1"/>
        <v>1</v>
      </c>
      <c r="H35" s="10" t="str">
        <f ca="1">IFERROR(__xludf.DUMMYFUNCTION("""COMPUTED_VALUE"""),"Phone (Brittany)")</f>
        <v>Phone (Brittany)</v>
      </c>
      <c r="I35" s="10">
        <f ca="1">IFERROR(__xludf.DUMMYFUNCTION("""COMPUTED_VALUE"""),16)</f>
        <v>16</v>
      </c>
      <c r="J35" s="25">
        <f ca="1">IFERROR(__xludf.DUMMYFUNCTION("""COMPUTED_VALUE"""),50)</f>
        <v>50</v>
      </c>
      <c r="K35" s="10" t="b">
        <f t="shared" ca="1" si="2"/>
        <v>1</v>
      </c>
    </row>
    <row r="36" spans="2:11" ht="15.75" customHeight="1">
      <c r="B36" s="10" t="b">
        <f t="shared" si="4"/>
        <v>0</v>
      </c>
      <c r="C36" s="10" t="s">
        <v>34</v>
      </c>
      <c r="D36" s="1"/>
      <c r="E36" s="2">
        <f>IF($D$2="Winter", 110, 0)</f>
        <v>0</v>
      </c>
      <c r="G36" s="10" t="b">
        <f t="shared" si="1"/>
        <v>0</v>
      </c>
      <c r="H36" s="10" t="str">
        <f ca="1">IFERROR(__xludf.DUMMYFUNCTION("""COMPUTED_VALUE"""),"Gym Membership (Nykosi)")</f>
        <v>Gym Membership (Nykosi)</v>
      </c>
      <c r="I36" s="10">
        <f ca="1">IFERROR(__xludf.DUMMYFUNCTION("""COMPUTED_VALUE"""),24)</f>
        <v>24</v>
      </c>
      <c r="J36" s="25">
        <f ca="1">IFERROR(__xludf.DUMMYFUNCTION("""COMPUTED_VALUE"""),22.23)</f>
        <v>22.23</v>
      </c>
      <c r="K36" s="10" t="b">
        <f t="shared" ca="1" si="2"/>
        <v>1</v>
      </c>
    </row>
    <row r="37" spans="2:11" ht="15.75" customHeight="1">
      <c r="B37" s="10" t="b">
        <f t="shared" si="4"/>
        <v>1</v>
      </c>
      <c r="C37" s="10" t="s">
        <v>35</v>
      </c>
      <c r="D37" s="31">
        <v>1</v>
      </c>
      <c r="E37" s="2">
        <v>10.64</v>
      </c>
      <c r="G37" s="10" t="b">
        <f t="shared" si="1"/>
        <v>1</v>
      </c>
      <c r="H37" s="10" t="str">
        <f ca="1">IFERROR(__xludf.DUMMYFUNCTION("""COMPUTED_VALUE"""),"Gym Membership (Brittany)")</f>
        <v>Gym Membership (Brittany)</v>
      </c>
      <c r="I37" s="10">
        <f ca="1">IFERROR(__xludf.DUMMYFUNCTION("""COMPUTED_VALUE"""),6)</f>
        <v>6</v>
      </c>
      <c r="J37" s="25">
        <f ca="1">IFERROR(__xludf.DUMMYFUNCTION("""COMPUTED_VALUE"""),32.87)</f>
        <v>32.869999999999997</v>
      </c>
      <c r="K37" s="10" t="b">
        <f t="shared" ca="1" si="2"/>
        <v>1</v>
      </c>
    </row>
    <row r="38" spans="2:11" ht="15.75" customHeight="1">
      <c r="B38" s="10" t="b">
        <f t="shared" si="4"/>
        <v>1</v>
      </c>
      <c r="C38" s="10" t="s">
        <v>36</v>
      </c>
      <c r="D38" s="31">
        <v>1</v>
      </c>
      <c r="E38" s="2">
        <v>18</v>
      </c>
      <c r="G38" s="10" t="b">
        <f t="shared" si="1"/>
        <v>1</v>
      </c>
      <c r="H38" s="10" t="str">
        <f ca="1">IFERROR(__xludf.DUMMYFUNCTION("""COMPUTED_VALUE"""),"Gym Trainer (Brittany)")</f>
        <v>Gym Trainer (Brittany)</v>
      </c>
      <c r="I38" s="10">
        <f ca="1">IFERROR(__xludf.DUMMYFUNCTION("""COMPUTED_VALUE"""),14)</f>
        <v>14</v>
      </c>
      <c r="J38" s="25">
        <f ca="1">IFERROR(__xludf.DUMMYFUNCTION("""COMPUTED_VALUE"""),105.29)</f>
        <v>105.29</v>
      </c>
      <c r="K38" s="10" t="b">
        <f t="shared" ca="1" si="2"/>
        <v>1</v>
      </c>
    </row>
    <row r="39" spans="2:11" ht="8.25" customHeight="1">
      <c r="B39" s="10" t="b">
        <f t="shared" si="4"/>
        <v>0</v>
      </c>
      <c r="C39" s="13"/>
      <c r="D39" s="14"/>
      <c r="E39" s="15"/>
      <c r="G39" s="10" t="b">
        <f t="shared" si="1"/>
        <v>0</v>
      </c>
      <c r="H39" s="10" t="str">
        <f ca="1">IFERROR(__xludf.DUMMYFUNCTION("""COMPUTED_VALUE"""),"Gym Trainer (Brittany)")</f>
        <v>Gym Trainer (Brittany)</v>
      </c>
      <c r="I39" s="10">
        <f ca="1">IFERROR(__xludf.DUMMYFUNCTION("""COMPUTED_VALUE"""),28)</f>
        <v>28</v>
      </c>
      <c r="J39" s="25">
        <f ca="1">IFERROR(__xludf.DUMMYFUNCTION("""COMPUTED_VALUE"""),105.29)</f>
        <v>105.29</v>
      </c>
      <c r="K39" s="10" t="b">
        <f t="shared" ca="1" si="2"/>
        <v>1</v>
      </c>
    </row>
    <row r="40" spans="2:11" ht="15.75" customHeight="1">
      <c r="B40" s="10" t="b">
        <f t="shared" si="4"/>
        <v>0</v>
      </c>
      <c r="C40" s="105" t="s">
        <v>37</v>
      </c>
      <c r="D40" s="106"/>
      <c r="E40" s="106"/>
      <c r="G40" s="10" t="b">
        <f t="shared" si="1"/>
        <v>0</v>
      </c>
      <c r="H40" s="10" t="str">
        <f ca="1">IFERROR(__xludf.DUMMYFUNCTION("""COMPUTED_VALUE"""),"Amazon Prime")</f>
        <v>Amazon Prime</v>
      </c>
      <c r="I40" s="10">
        <f ca="1">IFERROR(__xludf.DUMMYFUNCTION("""COMPUTED_VALUE"""),14)</f>
        <v>14</v>
      </c>
      <c r="J40" s="25">
        <f ca="1">IFERROR(__xludf.DUMMYFUNCTION("""COMPUTED_VALUE"""),14.99)</f>
        <v>14.99</v>
      </c>
      <c r="K40" s="10" t="b">
        <f t="shared" ca="1" si="2"/>
        <v>1</v>
      </c>
    </row>
    <row r="41" spans="2:11" ht="15.75" customHeight="1">
      <c r="B41" s="10" t="b">
        <f t="shared" si="4"/>
        <v>1</v>
      </c>
      <c r="C41" s="10" t="s">
        <v>38</v>
      </c>
      <c r="D41" s="31">
        <v>4</v>
      </c>
      <c r="E41" s="29">
        <v>353.71</v>
      </c>
      <c r="G41" s="10" t="b">
        <f t="shared" si="1"/>
        <v>1</v>
      </c>
      <c r="H41" s="10" t="str">
        <f ca="1">IFERROR(__xludf.DUMMYFUNCTION("""COMPUTED_VALUE"""),"Microsoft 365")</f>
        <v>Microsoft 365</v>
      </c>
      <c r="I41" s="10">
        <f ca="1">IFERROR(__xludf.DUMMYFUNCTION("""COMPUTED_VALUE"""),17)</f>
        <v>17</v>
      </c>
      <c r="J41" s="25">
        <f ca="1">IFERROR(__xludf.DUMMYFUNCTION("""COMPUTED_VALUE"""),14.14)</f>
        <v>14.14</v>
      </c>
      <c r="K41" s="10" t="b">
        <f t="shared" ca="1" si="2"/>
        <v>1</v>
      </c>
    </row>
    <row r="42" spans="2:11" ht="15.75" customHeight="1">
      <c r="B42" s="10" t="b">
        <f t="shared" si="4"/>
        <v>0</v>
      </c>
      <c r="C42" s="10" t="s">
        <v>39</v>
      </c>
      <c r="D42" s="1"/>
      <c r="E42" s="2"/>
      <c r="G42" s="10" t="b">
        <f t="shared" si="1"/>
        <v>0</v>
      </c>
      <c r="H42" s="10" t="str">
        <f ca="1">IFERROR(__xludf.DUMMYFUNCTION("""COMPUTED_VALUE"""),"Netflix")</f>
        <v>Netflix</v>
      </c>
      <c r="I42" s="10">
        <f ca="1">IFERROR(__xludf.DUMMYFUNCTION("""COMPUTED_VALUE"""),23)</f>
        <v>23</v>
      </c>
      <c r="J42" s="25">
        <f ca="1">IFERROR(__xludf.DUMMYFUNCTION("""COMPUTED_VALUE"""),19.3)</f>
        <v>19.3</v>
      </c>
      <c r="K42" s="10" t="b">
        <f t="shared" ca="1" si="2"/>
        <v>1</v>
      </c>
    </row>
    <row r="43" spans="2:11" ht="15.75" customHeight="1">
      <c r="B43" s="10" t="b">
        <f t="shared" si="4"/>
        <v>1</v>
      </c>
      <c r="C43" s="10" t="s">
        <v>40</v>
      </c>
      <c r="D43" s="31">
        <v>15</v>
      </c>
      <c r="E43" s="29">
        <v>175</v>
      </c>
      <c r="G43" s="10" t="b">
        <f t="shared" si="1"/>
        <v>1</v>
      </c>
      <c r="H43" s="10" t="str">
        <f ca="1">IFERROR(__xludf.DUMMYFUNCTION("""COMPUTED_VALUE"""),"YNAB ")</f>
        <v xml:space="preserve">YNAB </v>
      </c>
      <c r="I43" s="10">
        <f ca="1">IFERROR(__xludf.DUMMYFUNCTION("""COMPUTED_VALUE"""),9)</f>
        <v>9</v>
      </c>
      <c r="J43" s="25">
        <f ca="1">IFERROR(__xludf.DUMMYFUNCTION("""COMPUTED_VALUE"""),14.99)</f>
        <v>14.99</v>
      </c>
      <c r="K43" s="10" t="b">
        <f t="shared" ca="1" si="2"/>
        <v>1</v>
      </c>
    </row>
    <row r="44" spans="2:11" ht="15.75" customHeight="1">
      <c r="B44" s="10" t="b">
        <f t="shared" si="4"/>
        <v>1</v>
      </c>
      <c r="C44" s="10" t="s">
        <v>41</v>
      </c>
      <c r="D44" s="31">
        <v>1</v>
      </c>
      <c r="E44" s="29">
        <v>192.43</v>
      </c>
      <c r="G44" s="10" t="b">
        <f t="shared" si="1"/>
        <v>1</v>
      </c>
      <c r="H44" s="10" t="str">
        <f ca="1">IFERROR(__xludf.DUMMYFUNCTION("""COMPUTED_VALUE"""),"OpenAI")</f>
        <v>OpenAI</v>
      </c>
      <c r="I44" s="10">
        <f ca="1">IFERROR(__xludf.DUMMYFUNCTION("""COMPUTED_VALUE"""),16)</f>
        <v>16</v>
      </c>
      <c r="J44" s="25">
        <f ca="1">IFERROR(__xludf.DUMMYFUNCTION("""COMPUTED_VALUE"""),20.2)</f>
        <v>20.2</v>
      </c>
      <c r="K44" s="10" t="b">
        <f t="shared" ca="1" si="2"/>
        <v>1</v>
      </c>
    </row>
    <row r="45" spans="2:11" ht="15.75" customHeight="1">
      <c r="B45" s="10" t="b">
        <f t="shared" si="4"/>
        <v>1</v>
      </c>
      <c r="C45" s="10" t="s">
        <v>42</v>
      </c>
      <c r="D45" s="31">
        <v>27</v>
      </c>
      <c r="E45" s="2">
        <v>74.95</v>
      </c>
      <c r="G45" s="10" t="b">
        <f t="shared" si="1"/>
        <v>1</v>
      </c>
      <c r="K45" s="10" t="b">
        <f t="shared" si="2"/>
        <v>0</v>
      </c>
    </row>
    <row r="46" spans="2:11" ht="15.75" customHeight="1">
      <c r="B46" s="10" t="b">
        <f t="shared" si="4"/>
        <v>1</v>
      </c>
      <c r="C46" s="10" t="s">
        <v>43</v>
      </c>
      <c r="D46" s="31">
        <v>16</v>
      </c>
      <c r="E46" s="2">
        <v>82.37</v>
      </c>
      <c r="G46" s="10" t="b">
        <f t="shared" si="1"/>
        <v>1</v>
      </c>
      <c r="K46" s="10" t="b">
        <f t="shared" si="2"/>
        <v>0</v>
      </c>
    </row>
    <row r="47" spans="2:11" ht="8.25" customHeight="1">
      <c r="B47" s="10" t="b">
        <f t="shared" si="4"/>
        <v>0</v>
      </c>
      <c r="C47" s="13"/>
      <c r="D47" s="14"/>
      <c r="E47" s="15"/>
      <c r="G47" s="10" t="b">
        <f t="shared" si="1"/>
        <v>0</v>
      </c>
      <c r="K47" s="10" t="b">
        <f t="shared" si="2"/>
        <v>0</v>
      </c>
    </row>
    <row r="48" spans="2:11" ht="15.75" customHeight="1">
      <c r="B48" s="10" t="b">
        <f t="shared" si="4"/>
        <v>0</v>
      </c>
      <c r="C48" s="105" t="s">
        <v>44</v>
      </c>
      <c r="D48" s="106"/>
      <c r="E48" s="106"/>
      <c r="G48" s="10" t="b">
        <f t="shared" si="1"/>
        <v>0</v>
      </c>
      <c r="K48" s="10" t="b">
        <f t="shared" si="2"/>
        <v>0</v>
      </c>
    </row>
    <row r="49" spans="2:11" ht="15.75" customHeight="1">
      <c r="B49" s="10" t="b">
        <f t="shared" si="4"/>
        <v>1</v>
      </c>
      <c r="C49" s="10" t="s">
        <v>45</v>
      </c>
      <c r="D49" s="31">
        <v>3</v>
      </c>
      <c r="E49" s="29">
        <v>250</v>
      </c>
      <c r="G49" s="10" t="b">
        <f t="shared" si="1"/>
        <v>1</v>
      </c>
      <c r="K49" s="10" t="b">
        <f t="shared" si="2"/>
        <v>0</v>
      </c>
    </row>
    <row r="50" spans="2:11" ht="15.75" customHeight="1">
      <c r="B50" s="10" t="b">
        <f t="shared" si="4"/>
        <v>1</v>
      </c>
      <c r="C50" s="10" t="s">
        <v>45</v>
      </c>
      <c r="D50" s="31">
        <v>10</v>
      </c>
      <c r="E50" s="29">
        <v>250</v>
      </c>
      <c r="G50" s="10" t="b">
        <f t="shared" si="1"/>
        <v>1</v>
      </c>
      <c r="K50" s="10" t="b">
        <f t="shared" si="2"/>
        <v>0</v>
      </c>
    </row>
    <row r="51" spans="2:11" ht="15.75" customHeight="1">
      <c r="B51" s="10" t="b">
        <f t="shared" si="4"/>
        <v>1</v>
      </c>
      <c r="C51" s="10" t="s">
        <v>45</v>
      </c>
      <c r="D51" s="31">
        <v>17</v>
      </c>
      <c r="E51" s="2">
        <v>250</v>
      </c>
      <c r="G51" s="10" t="b">
        <f t="shared" si="1"/>
        <v>1</v>
      </c>
      <c r="K51" s="10" t="b">
        <f t="shared" si="2"/>
        <v>0</v>
      </c>
    </row>
    <row r="52" spans="2:11" ht="15.75" customHeight="1">
      <c r="B52" s="10" t="b">
        <f t="shared" si="4"/>
        <v>1</v>
      </c>
      <c r="C52" s="10" t="s">
        <v>45</v>
      </c>
      <c r="D52" s="31">
        <v>24</v>
      </c>
      <c r="E52" s="2">
        <v>250</v>
      </c>
      <c r="G52" s="10" t="b">
        <f t="shared" si="1"/>
        <v>1</v>
      </c>
      <c r="K52" s="10" t="b">
        <f t="shared" si="2"/>
        <v>0</v>
      </c>
    </row>
    <row r="53" spans="2:11" ht="15.75" customHeight="1">
      <c r="B53" s="10" t="b">
        <f t="shared" si="4"/>
        <v>1</v>
      </c>
      <c r="C53" s="10" t="s">
        <v>46</v>
      </c>
      <c r="D53" s="1">
        <v>16</v>
      </c>
      <c r="E53" s="2">
        <v>30</v>
      </c>
      <c r="G53" s="10" t="b">
        <f t="shared" si="1"/>
        <v>1</v>
      </c>
      <c r="K53" s="10" t="b">
        <f t="shared" si="2"/>
        <v>0</v>
      </c>
    </row>
    <row r="54" spans="2:11" ht="15.75" customHeight="1">
      <c r="B54" s="10" t="b">
        <f t="shared" si="4"/>
        <v>1</v>
      </c>
      <c r="C54" s="10" t="s">
        <v>47</v>
      </c>
      <c r="D54" s="1">
        <v>16</v>
      </c>
      <c r="E54" s="2">
        <v>50</v>
      </c>
      <c r="G54" s="10" t="b">
        <f t="shared" si="1"/>
        <v>1</v>
      </c>
      <c r="K54" s="10" t="b">
        <f t="shared" si="2"/>
        <v>0</v>
      </c>
    </row>
    <row r="55" spans="2:11" ht="8.25" customHeight="1">
      <c r="B55" s="10" t="b">
        <f t="shared" si="4"/>
        <v>0</v>
      </c>
      <c r="C55" s="13"/>
      <c r="D55" s="14"/>
      <c r="E55" s="15"/>
      <c r="G55" s="10" t="b">
        <f t="shared" si="1"/>
        <v>0</v>
      </c>
      <c r="K55" s="10" t="b">
        <f t="shared" si="2"/>
        <v>0</v>
      </c>
    </row>
    <row r="56" spans="2:11" ht="15.75" customHeight="1">
      <c r="B56" s="10" t="b">
        <f t="shared" si="4"/>
        <v>0</v>
      </c>
      <c r="C56" s="105" t="s">
        <v>48</v>
      </c>
      <c r="D56" s="106"/>
      <c r="E56" s="106"/>
      <c r="G56" s="10" t="b">
        <f t="shared" si="1"/>
        <v>0</v>
      </c>
      <c r="K56" s="10" t="b">
        <f t="shared" si="2"/>
        <v>0</v>
      </c>
    </row>
    <row r="57" spans="2:11" ht="15.75" customHeight="1">
      <c r="B57" s="10" t="b">
        <f t="shared" si="4"/>
        <v>1</v>
      </c>
      <c r="C57" s="10" t="s">
        <v>49</v>
      </c>
      <c r="D57" s="1">
        <v>24</v>
      </c>
      <c r="E57" s="2">
        <v>22.23</v>
      </c>
      <c r="G57" s="10" t="b">
        <f t="shared" si="1"/>
        <v>1</v>
      </c>
      <c r="K57" s="10" t="b">
        <f t="shared" si="2"/>
        <v>0</v>
      </c>
    </row>
    <row r="58" spans="2:11" ht="15.75" customHeight="1">
      <c r="B58" s="10" t="b">
        <f t="shared" si="4"/>
        <v>1</v>
      </c>
      <c r="C58" s="10" t="s">
        <v>50</v>
      </c>
      <c r="D58" s="1">
        <v>6</v>
      </c>
      <c r="E58" s="2">
        <v>32.869999999999997</v>
      </c>
      <c r="G58" s="10" t="b">
        <f t="shared" si="1"/>
        <v>1</v>
      </c>
      <c r="K58" s="10" t="b">
        <f t="shared" si="2"/>
        <v>0</v>
      </c>
    </row>
    <row r="59" spans="2:11" ht="15.75" customHeight="1">
      <c r="B59" s="10" t="b">
        <f t="shared" si="4"/>
        <v>1</v>
      </c>
      <c r="C59" s="10" t="s">
        <v>51</v>
      </c>
      <c r="D59" s="31">
        <v>14</v>
      </c>
      <c r="E59" s="2">
        <v>105.29</v>
      </c>
      <c r="G59" s="10" t="b">
        <f t="shared" si="1"/>
        <v>1</v>
      </c>
      <c r="K59" s="10" t="b">
        <f t="shared" si="2"/>
        <v>0</v>
      </c>
    </row>
    <row r="60" spans="2:11" ht="15.75" customHeight="1">
      <c r="B60" s="10" t="b">
        <f t="shared" si="4"/>
        <v>1</v>
      </c>
      <c r="C60" s="10" t="s">
        <v>51</v>
      </c>
      <c r="D60" s="31">
        <v>28</v>
      </c>
      <c r="E60" s="2">
        <v>105.29</v>
      </c>
      <c r="G60" s="10" t="b">
        <f t="shared" si="1"/>
        <v>1</v>
      </c>
      <c r="K60" s="10" t="b">
        <f t="shared" si="2"/>
        <v>0</v>
      </c>
    </row>
    <row r="61" spans="2:11" ht="15.75" customHeight="1">
      <c r="B61" s="10" t="b">
        <f t="shared" si="4"/>
        <v>1</v>
      </c>
      <c r="C61" s="10" t="s">
        <v>53</v>
      </c>
      <c r="D61" s="31">
        <v>14</v>
      </c>
      <c r="E61" s="2">
        <v>14.99</v>
      </c>
      <c r="G61" s="10" t="b">
        <f t="shared" si="1"/>
        <v>1</v>
      </c>
      <c r="K61" s="10" t="b">
        <f t="shared" si="2"/>
        <v>0</v>
      </c>
    </row>
    <row r="62" spans="2:11" ht="15.75" customHeight="1">
      <c r="B62" s="10" t="b">
        <f t="shared" si="4"/>
        <v>1</v>
      </c>
      <c r="C62" s="10" t="s">
        <v>56</v>
      </c>
      <c r="D62" s="1">
        <v>17</v>
      </c>
      <c r="E62" s="2">
        <v>14.14</v>
      </c>
      <c r="G62" s="10" t="b">
        <f t="shared" si="1"/>
        <v>1</v>
      </c>
      <c r="K62" s="10" t="b">
        <f t="shared" si="2"/>
        <v>0</v>
      </c>
    </row>
    <row r="63" spans="2:11" ht="15.75" customHeight="1">
      <c r="B63" s="10" t="b">
        <f t="shared" si="4"/>
        <v>1</v>
      </c>
      <c r="C63" s="10" t="s">
        <v>57</v>
      </c>
      <c r="D63" s="1">
        <v>23</v>
      </c>
      <c r="E63" s="2">
        <v>19.3</v>
      </c>
      <c r="G63" s="10" t="b">
        <f t="shared" si="1"/>
        <v>1</v>
      </c>
      <c r="K63" s="10" t="b">
        <f t="shared" si="2"/>
        <v>0</v>
      </c>
    </row>
    <row r="64" spans="2:11" ht="15.75" customHeight="1">
      <c r="B64" s="10" t="b">
        <f t="shared" si="4"/>
        <v>1</v>
      </c>
      <c r="C64" s="10" t="s">
        <v>58</v>
      </c>
      <c r="D64" s="1">
        <v>9</v>
      </c>
      <c r="E64" s="2">
        <v>14.99</v>
      </c>
      <c r="G64" s="10" t="b">
        <f t="shared" si="1"/>
        <v>1</v>
      </c>
      <c r="K64" s="10" t="b">
        <f t="shared" si="2"/>
        <v>0</v>
      </c>
    </row>
    <row r="65" spans="2:16" ht="15.75" customHeight="1">
      <c r="B65" s="10" t="b">
        <f t="shared" si="4"/>
        <v>1</v>
      </c>
      <c r="C65" s="10" t="s">
        <v>59</v>
      </c>
      <c r="D65" s="1">
        <v>16</v>
      </c>
      <c r="E65" s="2">
        <v>20.2</v>
      </c>
      <c r="G65" s="10" t="b">
        <f t="shared" si="1"/>
        <v>1</v>
      </c>
      <c r="K65" s="10" t="b">
        <f t="shared" si="2"/>
        <v>0</v>
      </c>
    </row>
    <row r="66" spans="2:16" ht="15.75" customHeight="1">
      <c r="B66" s="10" t="b">
        <f t="shared" si="4"/>
        <v>0</v>
      </c>
      <c r="D66" s="1"/>
      <c r="E66" s="2"/>
      <c r="G66" s="10" t="b">
        <f t="shared" si="1"/>
        <v>0</v>
      </c>
      <c r="K66" s="10" t="b">
        <f t="shared" si="2"/>
        <v>0</v>
      </c>
    </row>
    <row r="67" spans="2:16" ht="15.75" customHeight="1">
      <c r="B67" s="10" t="b">
        <f t="shared" si="4"/>
        <v>0</v>
      </c>
      <c r="D67" s="1"/>
      <c r="E67" s="2"/>
      <c r="G67" s="10" t="b">
        <f t="shared" si="1"/>
        <v>0</v>
      </c>
      <c r="K67" s="10" t="b">
        <f t="shared" si="2"/>
        <v>0</v>
      </c>
    </row>
    <row r="68" spans="2:16" ht="8.25" customHeight="1">
      <c r="B68" s="10" t="b">
        <f t="shared" si="4"/>
        <v>0</v>
      </c>
      <c r="C68" s="13"/>
      <c r="D68" s="14"/>
      <c r="E68" s="15"/>
      <c r="G68" s="10" t="b">
        <f t="shared" si="1"/>
        <v>0</v>
      </c>
      <c r="K68" s="10" t="b">
        <f t="shared" si="2"/>
        <v>0</v>
      </c>
    </row>
    <row r="69" spans="2:16" ht="15.75" customHeight="1">
      <c r="B69" s="10" t="b">
        <f t="shared" si="4"/>
        <v>0</v>
      </c>
      <c r="C69" s="105" t="s">
        <v>62</v>
      </c>
      <c r="D69" s="106"/>
      <c r="E69" s="106"/>
      <c r="G69" s="10" t="b">
        <f t="shared" si="1"/>
        <v>0</v>
      </c>
      <c r="K69" s="10" t="b">
        <f t="shared" si="2"/>
        <v>0</v>
      </c>
    </row>
    <row r="70" spans="2:16" ht="15.75" customHeight="1">
      <c r="B70" s="10" t="b">
        <f t="shared" si="4"/>
        <v>0</v>
      </c>
      <c r="D70" s="1"/>
      <c r="E70" s="2"/>
      <c r="G70" s="10" t="b">
        <f t="shared" si="1"/>
        <v>0</v>
      </c>
      <c r="K70" s="10" t="b">
        <f t="shared" si="2"/>
        <v>0</v>
      </c>
    </row>
    <row r="71" spans="2:16" ht="15.75" customHeight="1">
      <c r="B71" s="10" t="b">
        <f t="shared" si="4"/>
        <v>0</v>
      </c>
      <c r="D71" s="1"/>
      <c r="E71" s="2"/>
      <c r="G71" s="10" t="b">
        <f t="shared" si="1"/>
        <v>0</v>
      </c>
      <c r="K71" s="10" t="b">
        <f t="shared" si="2"/>
        <v>0</v>
      </c>
    </row>
    <row r="72" spans="2:16" ht="15.75" customHeight="1">
      <c r="B72" s="10" t="b">
        <f t="shared" si="4"/>
        <v>0</v>
      </c>
      <c r="D72" s="1"/>
      <c r="E72" s="2"/>
      <c r="G72" s="10" t="b">
        <f t="shared" si="1"/>
        <v>0</v>
      </c>
      <c r="K72" s="10" t="b">
        <f t="shared" si="2"/>
        <v>0</v>
      </c>
    </row>
    <row r="73" spans="2:16" ht="15.75" customHeight="1">
      <c r="B73" s="10" t="b">
        <f t="shared" si="4"/>
        <v>0</v>
      </c>
      <c r="D73" s="1"/>
      <c r="E73" s="2"/>
      <c r="G73" s="10" t="b">
        <f t="shared" si="1"/>
        <v>0</v>
      </c>
      <c r="K73" s="10" t="b">
        <f t="shared" si="2"/>
        <v>0</v>
      </c>
    </row>
    <row r="74" spans="2:16" ht="8.25" customHeight="1">
      <c r="B74" s="10" t="b">
        <f t="shared" si="4"/>
        <v>0</v>
      </c>
      <c r="C74" s="13"/>
      <c r="D74" s="14"/>
      <c r="E74" s="15"/>
      <c r="G74" s="10" t="b">
        <f t="shared" si="1"/>
        <v>0</v>
      </c>
      <c r="K74" s="10" t="b">
        <f t="shared" si="2"/>
        <v>0</v>
      </c>
    </row>
    <row r="75" spans="2:16" ht="15.75" customHeight="1">
      <c r="B75" s="10" t="b">
        <f t="shared" si="4"/>
        <v>0</v>
      </c>
      <c r="C75" s="21" t="s">
        <v>63</v>
      </c>
      <c r="D75" s="22"/>
      <c r="E75" s="23">
        <f>$E$14-SUM($E$17:$E$74)</f>
        <v>2128.5200000000004</v>
      </c>
      <c r="F75" s="16"/>
      <c r="G75" s="10" t="b">
        <f t="shared" si="1"/>
        <v>0</v>
      </c>
      <c r="K75" s="10" t="b">
        <f t="shared" si="2"/>
        <v>0</v>
      </c>
      <c r="L75" s="16"/>
      <c r="M75" s="16"/>
      <c r="N75" s="16"/>
      <c r="O75" s="16"/>
      <c r="P75" s="16"/>
    </row>
    <row r="76" spans="2:16" ht="8.25" customHeight="1">
      <c r="B76" s="10" t="b">
        <f t="shared" si="4"/>
        <v>0</v>
      </c>
      <c r="D76" s="1"/>
      <c r="E76" s="2"/>
      <c r="G76" s="10" t="b">
        <f t="shared" si="1"/>
        <v>0</v>
      </c>
      <c r="K76" s="10" t="b">
        <f t="shared" si="2"/>
        <v>0</v>
      </c>
    </row>
    <row r="77" spans="2:16" ht="15.75" customHeight="1">
      <c r="B77" s="10" t="b">
        <f t="shared" si="4"/>
        <v>0</v>
      </c>
      <c r="D77" s="1"/>
      <c r="E77" s="2"/>
      <c r="G77" s="10" t="b">
        <f t="shared" si="1"/>
        <v>0</v>
      </c>
      <c r="K77" s="10" t="b">
        <f t="shared" si="2"/>
        <v>0</v>
      </c>
    </row>
    <row r="78" spans="2:16" ht="15.75" customHeight="1">
      <c r="B78" s="10" t="b">
        <f t="shared" si="4"/>
        <v>0</v>
      </c>
      <c r="C78" s="105" t="s">
        <v>64</v>
      </c>
      <c r="D78" s="106"/>
      <c r="E78" s="106"/>
      <c r="G78" s="10" t="b">
        <f t="shared" si="1"/>
        <v>0</v>
      </c>
      <c r="K78" s="10" t="b">
        <f t="shared" si="2"/>
        <v>0</v>
      </c>
    </row>
    <row r="79" spans="2:16" ht="15.75" customHeight="1">
      <c r="B79" s="10" t="b">
        <f t="shared" si="4"/>
        <v>0</v>
      </c>
      <c r="C79" s="10" t="s">
        <v>65</v>
      </c>
      <c r="D79" s="1"/>
      <c r="E79" s="2"/>
      <c r="G79" s="10" t="b">
        <f t="shared" si="1"/>
        <v>0</v>
      </c>
      <c r="K79" s="10" t="b">
        <f t="shared" si="2"/>
        <v>0</v>
      </c>
    </row>
    <row r="80" spans="2:16" ht="15.75" customHeight="1">
      <c r="B80" s="10" t="b">
        <f t="shared" si="4"/>
        <v>0</v>
      </c>
      <c r="C80" s="10" t="s">
        <v>66</v>
      </c>
      <c r="D80" s="1"/>
      <c r="E80" s="2"/>
      <c r="G80" s="10" t="b">
        <f t="shared" si="1"/>
        <v>0</v>
      </c>
      <c r="K80" s="10" t="b">
        <f t="shared" si="2"/>
        <v>0</v>
      </c>
    </row>
    <row r="81" spans="4:11" ht="15.75" customHeight="1">
      <c r="D81" s="1"/>
      <c r="E81" s="2"/>
      <c r="G81" s="10" t="b">
        <f t="shared" si="1"/>
        <v>0</v>
      </c>
      <c r="K81" s="10" t="b">
        <f t="shared" si="2"/>
        <v>0</v>
      </c>
    </row>
    <row r="82" spans="4:11" ht="15.75" customHeight="1">
      <c r="D82" s="1"/>
      <c r="E82" s="2"/>
      <c r="G82" s="10" t="b">
        <f t="shared" si="1"/>
        <v>0</v>
      </c>
      <c r="H82" s="16"/>
      <c r="I82" s="16"/>
      <c r="J82" s="16"/>
      <c r="K82" s="10" t="b">
        <f t="shared" si="2"/>
        <v>0</v>
      </c>
    </row>
    <row r="83" spans="4:11" ht="15.75" customHeight="1">
      <c r="D83" s="1"/>
      <c r="E83" s="2"/>
      <c r="G83" s="10" t="b">
        <f t="shared" si="1"/>
        <v>0</v>
      </c>
      <c r="K83" s="10" t="b">
        <f t="shared" si="2"/>
        <v>0</v>
      </c>
    </row>
    <row r="84" spans="4:11" ht="15.75" customHeight="1">
      <c r="D84" s="1"/>
      <c r="E84" s="2"/>
      <c r="G84" s="10" t="b">
        <f t="shared" si="1"/>
        <v>0</v>
      </c>
      <c r="K84" s="10" t="b">
        <f t="shared" si="2"/>
        <v>0</v>
      </c>
    </row>
    <row r="85" spans="4:11" ht="15.75" customHeight="1">
      <c r="D85" s="1"/>
      <c r="E85" s="2"/>
      <c r="G85" s="10" t="b">
        <f t="shared" si="1"/>
        <v>0</v>
      </c>
      <c r="K85" s="10" t="b">
        <f t="shared" si="2"/>
        <v>0</v>
      </c>
    </row>
    <row r="86" spans="4:11" ht="15.75" customHeight="1">
      <c r="D86" s="1"/>
      <c r="E86" s="2"/>
      <c r="G86" s="10" t="b">
        <f t="shared" si="1"/>
        <v>0</v>
      </c>
      <c r="K86" s="10" t="b">
        <f t="shared" si="2"/>
        <v>0</v>
      </c>
    </row>
    <row r="87" spans="4:11" ht="15.75" customHeight="1">
      <c r="D87" s="1"/>
      <c r="E87" s="2"/>
      <c r="G87" s="10" t="b">
        <f t="shared" si="1"/>
        <v>0</v>
      </c>
      <c r="K87" s="10" t="b">
        <f t="shared" si="2"/>
        <v>0</v>
      </c>
    </row>
    <row r="88" spans="4:11" ht="15.75" customHeight="1">
      <c r="D88" s="1"/>
      <c r="E88" s="2"/>
      <c r="G88" s="10" t="b">
        <f t="shared" si="1"/>
        <v>0</v>
      </c>
      <c r="K88" s="10" t="b">
        <f t="shared" si="2"/>
        <v>0</v>
      </c>
    </row>
    <row r="89" spans="4:11" ht="15.75" customHeight="1">
      <c r="D89" s="1"/>
      <c r="E89" s="2"/>
      <c r="G89" s="10" t="b">
        <f t="shared" si="1"/>
        <v>0</v>
      </c>
      <c r="K89" s="10" t="b">
        <f t="shared" si="2"/>
        <v>0</v>
      </c>
    </row>
    <row r="90" spans="4:11" ht="15.75" customHeight="1">
      <c r="D90" s="1"/>
      <c r="E90" s="2"/>
      <c r="G90" s="10" t="b">
        <f t="shared" si="1"/>
        <v>0</v>
      </c>
      <c r="K90" s="10" t="b">
        <f t="shared" si="2"/>
        <v>0</v>
      </c>
    </row>
    <row r="91" spans="4:11" ht="15.75" customHeight="1">
      <c r="D91" s="1"/>
      <c r="E91" s="2"/>
      <c r="G91" s="10" t="b">
        <f t="shared" si="1"/>
        <v>0</v>
      </c>
      <c r="K91" s="10" t="b">
        <f t="shared" si="2"/>
        <v>0</v>
      </c>
    </row>
    <row r="92" spans="4:11" ht="15.75" customHeight="1">
      <c r="D92" s="1"/>
      <c r="E92" s="2"/>
      <c r="G92" s="10" t="b">
        <f t="shared" si="1"/>
        <v>0</v>
      </c>
      <c r="K92" s="10" t="b">
        <f t="shared" si="2"/>
        <v>0</v>
      </c>
    </row>
    <row r="93" spans="4:11" ht="15.75" customHeight="1">
      <c r="D93" s="1"/>
      <c r="E93" s="2"/>
      <c r="G93" s="10" t="b">
        <f t="shared" si="1"/>
        <v>0</v>
      </c>
      <c r="K93" s="10" t="b">
        <f t="shared" si="2"/>
        <v>0</v>
      </c>
    </row>
    <row r="94" spans="4:11" ht="15.75" customHeight="1">
      <c r="D94" s="1"/>
      <c r="E94" s="2"/>
      <c r="G94" s="10" t="b">
        <f t="shared" si="1"/>
        <v>0</v>
      </c>
      <c r="K94" s="10" t="b">
        <f t="shared" si="2"/>
        <v>0</v>
      </c>
    </row>
    <row r="95" spans="4:11" ht="15.75" customHeight="1">
      <c r="D95" s="1"/>
      <c r="E95" s="2"/>
      <c r="G95" s="10" t="b">
        <f t="shared" si="1"/>
        <v>0</v>
      </c>
      <c r="K95" s="10" t="b">
        <f t="shared" si="2"/>
        <v>0</v>
      </c>
    </row>
    <row r="96" spans="4:11" ht="15.75" customHeight="1">
      <c r="D96" s="1"/>
      <c r="E96" s="2"/>
      <c r="G96" s="10" t="b">
        <f t="shared" si="1"/>
        <v>0</v>
      </c>
      <c r="K96" s="10" t="b">
        <f t="shared" si="2"/>
        <v>0</v>
      </c>
    </row>
    <row r="97" spans="4:5" ht="15.75" customHeight="1">
      <c r="D97" s="1"/>
      <c r="E97" s="2"/>
    </row>
    <row r="98" spans="4:5" ht="15.75" customHeight="1">
      <c r="D98" s="1"/>
      <c r="E98" s="2"/>
    </row>
    <row r="99" spans="4:5" ht="15.75" customHeight="1">
      <c r="D99" s="1"/>
      <c r="E99" s="2"/>
    </row>
    <row r="100" spans="4:5" ht="15.75" customHeight="1">
      <c r="D100" s="1"/>
      <c r="E100" s="2"/>
    </row>
    <row r="101" spans="4:5" ht="15.75" customHeight="1">
      <c r="D101" s="1"/>
      <c r="E101" s="2"/>
    </row>
    <row r="102" spans="4:5" ht="15.75" customHeight="1">
      <c r="D102" s="1"/>
      <c r="E102" s="2"/>
    </row>
    <row r="103" spans="4:5" ht="15.75" customHeight="1">
      <c r="D103" s="1"/>
      <c r="E103" s="2"/>
    </row>
    <row r="104" spans="4:5" ht="15.75" customHeight="1">
      <c r="D104" s="1"/>
      <c r="E104" s="2"/>
    </row>
    <row r="105" spans="4:5" ht="15.75" customHeight="1">
      <c r="D105" s="1"/>
      <c r="E105" s="2"/>
    </row>
    <row r="106" spans="4:5" ht="15.75" customHeight="1">
      <c r="D106" s="1"/>
      <c r="E106" s="2"/>
    </row>
    <row r="107" spans="4:5" ht="15.75" customHeight="1">
      <c r="D107" s="1"/>
      <c r="E107" s="2"/>
    </row>
    <row r="108" spans="4:5" ht="15.75" customHeight="1">
      <c r="D108" s="1"/>
      <c r="E108" s="2"/>
    </row>
    <row r="109" spans="4:5" ht="15.75" customHeight="1">
      <c r="D109" s="1"/>
      <c r="E109" s="2"/>
    </row>
    <row r="110" spans="4:5" ht="15.75" customHeight="1">
      <c r="D110" s="1"/>
      <c r="E110" s="2"/>
    </row>
    <row r="111" spans="4:5" ht="15.75" customHeight="1">
      <c r="D111" s="1"/>
      <c r="E111" s="2"/>
    </row>
    <row r="112" spans="4:5" ht="15.75" customHeight="1">
      <c r="D112" s="1"/>
      <c r="E112" s="2"/>
    </row>
    <row r="113" spans="4:5" ht="15.75" customHeight="1">
      <c r="D113" s="1"/>
      <c r="E113" s="2"/>
    </row>
    <row r="114" spans="4:5" ht="15.75" customHeight="1">
      <c r="D114" s="1"/>
      <c r="E114" s="2"/>
    </row>
    <row r="115" spans="4:5" ht="15.75" customHeight="1">
      <c r="D115" s="1"/>
      <c r="E115" s="2"/>
    </row>
    <row r="116" spans="4:5" ht="15.75" customHeight="1">
      <c r="D116" s="1"/>
      <c r="E116" s="2"/>
    </row>
    <row r="117" spans="4:5" ht="15.75" customHeight="1">
      <c r="D117" s="1"/>
      <c r="E117" s="2"/>
    </row>
    <row r="118" spans="4:5" ht="15.75" customHeight="1">
      <c r="D118" s="1"/>
      <c r="E118" s="2"/>
    </row>
    <row r="119" spans="4:5" ht="15.75" customHeight="1">
      <c r="D119" s="1"/>
      <c r="E119" s="2"/>
    </row>
    <row r="120" spans="4:5" ht="15.75" customHeight="1">
      <c r="D120" s="1"/>
      <c r="E120" s="2"/>
    </row>
    <row r="121" spans="4:5" ht="15.75" customHeight="1">
      <c r="D121" s="1"/>
      <c r="E121" s="2"/>
    </row>
    <row r="122" spans="4:5" ht="15.75" customHeight="1">
      <c r="D122" s="1"/>
      <c r="E122" s="2"/>
    </row>
    <row r="123" spans="4:5" ht="15.75" customHeight="1">
      <c r="D123" s="1"/>
      <c r="E123" s="2"/>
    </row>
    <row r="124" spans="4:5" ht="15.75" customHeight="1">
      <c r="D124" s="1"/>
      <c r="E124" s="2"/>
    </row>
    <row r="125" spans="4:5" ht="15.75" customHeight="1">
      <c r="D125" s="1"/>
      <c r="E125" s="2"/>
    </row>
    <row r="126" spans="4:5" ht="15.75" customHeight="1">
      <c r="D126" s="1"/>
      <c r="E126" s="2"/>
    </row>
    <row r="127" spans="4:5" ht="15.75" customHeight="1">
      <c r="D127" s="1"/>
      <c r="E127" s="2"/>
    </row>
    <row r="128" spans="4:5" ht="15.75" customHeight="1">
      <c r="D128" s="1"/>
      <c r="E128" s="2"/>
    </row>
    <row r="129" spans="4:5" ht="15.75" customHeight="1">
      <c r="D129" s="1"/>
      <c r="E129" s="2"/>
    </row>
    <row r="130" spans="4:5" ht="15.75" customHeight="1">
      <c r="D130" s="1"/>
      <c r="E130" s="2"/>
    </row>
    <row r="131" spans="4:5" ht="15.75" customHeight="1">
      <c r="D131" s="1"/>
      <c r="E131" s="2"/>
    </row>
    <row r="132" spans="4:5" ht="15.75" customHeight="1">
      <c r="D132" s="1"/>
      <c r="E132" s="2"/>
    </row>
    <row r="133" spans="4:5" ht="15.75" customHeight="1">
      <c r="D133" s="1"/>
      <c r="E133" s="2"/>
    </row>
    <row r="134" spans="4:5" ht="15.75" customHeight="1">
      <c r="D134" s="1"/>
      <c r="E134" s="2"/>
    </row>
    <row r="135" spans="4:5" ht="15.75" customHeight="1">
      <c r="D135" s="1"/>
      <c r="E135" s="2"/>
    </row>
    <row r="136" spans="4:5" ht="15.75" customHeight="1">
      <c r="D136" s="1"/>
      <c r="E136" s="2"/>
    </row>
    <row r="137" spans="4:5" ht="15.75" customHeight="1">
      <c r="D137" s="1"/>
      <c r="E137" s="2"/>
    </row>
    <row r="138" spans="4:5" ht="15.75" customHeight="1">
      <c r="D138" s="1"/>
      <c r="E138" s="2"/>
    </row>
    <row r="139" spans="4:5" ht="15.75" customHeight="1">
      <c r="D139" s="1"/>
      <c r="E139" s="2"/>
    </row>
    <row r="140" spans="4:5" ht="15.75" customHeight="1">
      <c r="D140" s="1"/>
      <c r="E140" s="2"/>
    </row>
    <row r="141" spans="4:5" ht="15.75" customHeight="1">
      <c r="D141" s="1"/>
      <c r="E141" s="2"/>
    </row>
    <row r="142" spans="4:5" ht="15.75" customHeight="1">
      <c r="D142" s="1"/>
      <c r="E142" s="2"/>
    </row>
    <row r="143" spans="4:5" ht="15.75" customHeight="1">
      <c r="D143" s="1"/>
      <c r="E143" s="2"/>
    </row>
    <row r="144" spans="4:5" ht="15.75" customHeight="1">
      <c r="D144" s="1"/>
      <c r="E144" s="2"/>
    </row>
    <row r="145" spans="4:5" ht="15.75" customHeight="1">
      <c r="D145" s="1"/>
      <c r="E145" s="2"/>
    </row>
    <row r="146" spans="4:5" ht="15.75" customHeight="1">
      <c r="D146" s="1"/>
      <c r="E146" s="2"/>
    </row>
    <row r="147" spans="4:5" ht="15.75" customHeight="1">
      <c r="D147" s="1"/>
      <c r="E147" s="2"/>
    </row>
    <row r="148" spans="4:5" ht="15.75" customHeight="1">
      <c r="D148" s="1"/>
      <c r="E148" s="2"/>
    </row>
    <row r="149" spans="4:5" ht="15.75" customHeight="1">
      <c r="D149" s="1"/>
      <c r="E149" s="2"/>
    </row>
    <row r="150" spans="4:5" ht="15.75" customHeight="1">
      <c r="D150" s="1"/>
      <c r="E150" s="2"/>
    </row>
    <row r="151" spans="4:5" ht="15.75" customHeight="1">
      <c r="D151" s="1"/>
      <c r="E151" s="2"/>
    </row>
    <row r="152" spans="4:5" ht="15.75" customHeight="1">
      <c r="D152" s="1"/>
      <c r="E152" s="2"/>
    </row>
    <row r="153" spans="4:5" ht="15.75" customHeight="1">
      <c r="D153" s="1"/>
      <c r="E153" s="2"/>
    </row>
    <row r="154" spans="4:5" ht="15.75" customHeight="1">
      <c r="D154" s="1"/>
      <c r="E154" s="2"/>
    </row>
    <row r="155" spans="4:5" ht="15.75" customHeight="1">
      <c r="D155" s="1"/>
      <c r="E155" s="2"/>
    </row>
    <row r="156" spans="4:5" ht="15.75" customHeight="1">
      <c r="D156" s="1"/>
      <c r="E156" s="2"/>
    </row>
    <row r="157" spans="4:5" ht="15.75" customHeight="1">
      <c r="D157" s="1"/>
      <c r="E157" s="2"/>
    </row>
    <row r="158" spans="4:5" ht="15.75" customHeight="1">
      <c r="D158" s="1"/>
      <c r="E158" s="2"/>
    </row>
    <row r="159" spans="4:5" ht="15.75" customHeight="1">
      <c r="D159" s="1"/>
      <c r="E159" s="2"/>
    </row>
    <row r="160" spans="4:5" ht="15.75" customHeight="1">
      <c r="D160" s="1"/>
      <c r="E160" s="2"/>
    </row>
    <row r="161" spans="4:5" ht="15.75" customHeight="1">
      <c r="D161" s="1"/>
      <c r="E161" s="2"/>
    </row>
    <row r="162" spans="4:5" ht="15.75" customHeight="1">
      <c r="D162" s="1"/>
      <c r="E162" s="2"/>
    </row>
    <row r="163" spans="4:5" ht="15.75" customHeight="1">
      <c r="D163" s="1"/>
      <c r="E163" s="2"/>
    </row>
    <row r="164" spans="4:5" ht="15.75" customHeight="1">
      <c r="D164" s="1"/>
      <c r="E164" s="2"/>
    </row>
    <row r="165" spans="4:5" ht="15.75" customHeight="1">
      <c r="D165" s="1"/>
      <c r="E165" s="2"/>
    </row>
    <row r="166" spans="4:5" ht="15.75" customHeight="1">
      <c r="D166" s="1"/>
      <c r="E166" s="2"/>
    </row>
    <row r="167" spans="4:5" ht="15.75" customHeight="1">
      <c r="D167" s="1"/>
      <c r="E167" s="2"/>
    </row>
    <row r="168" spans="4:5" ht="15.75" customHeight="1">
      <c r="D168" s="1"/>
      <c r="E168" s="2"/>
    </row>
    <row r="169" spans="4:5" ht="15.75" customHeight="1">
      <c r="D169" s="1"/>
      <c r="E169" s="2"/>
    </row>
    <row r="170" spans="4:5" ht="15.75" customHeight="1">
      <c r="D170" s="1"/>
      <c r="E170" s="2"/>
    </row>
    <row r="171" spans="4:5" ht="15.75" customHeight="1">
      <c r="D171" s="1"/>
      <c r="E171" s="2"/>
    </row>
    <row r="172" spans="4:5" ht="15.75" customHeight="1">
      <c r="D172" s="1"/>
      <c r="E172" s="2"/>
    </row>
    <row r="173" spans="4:5" ht="15.75" customHeight="1">
      <c r="D173" s="1"/>
      <c r="E173" s="2"/>
    </row>
    <row r="174" spans="4:5" ht="15.75" customHeight="1">
      <c r="D174" s="1"/>
      <c r="E174" s="2"/>
    </row>
    <row r="175" spans="4:5" ht="15.75" customHeight="1">
      <c r="D175" s="1"/>
      <c r="E175" s="2"/>
    </row>
    <row r="176" spans="4:5" ht="15.75" customHeight="1">
      <c r="D176" s="1"/>
      <c r="E176" s="2"/>
    </row>
    <row r="177" spans="4:5" ht="15.75" customHeight="1">
      <c r="D177" s="1"/>
      <c r="E177" s="2"/>
    </row>
    <row r="178" spans="4:5" ht="15.75" customHeight="1">
      <c r="D178" s="1"/>
      <c r="E178" s="2"/>
    </row>
    <row r="179" spans="4:5" ht="15.75" customHeight="1">
      <c r="D179" s="1"/>
      <c r="E179" s="2"/>
    </row>
    <row r="180" spans="4:5" ht="15.75" customHeight="1">
      <c r="D180" s="1"/>
      <c r="E180" s="2"/>
    </row>
    <row r="181" spans="4:5" ht="15.75" customHeight="1">
      <c r="D181" s="1"/>
      <c r="E181" s="2"/>
    </row>
    <row r="182" spans="4:5" ht="15.75" customHeight="1">
      <c r="D182" s="1"/>
      <c r="E182" s="2"/>
    </row>
    <row r="183" spans="4:5" ht="15.75" customHeight="1">
      <c r="D183" s="1"/>
      <c r="E183" s="2"/>
    </row>
    <row r="184" spans="4:5" ht="15.75" customHeight="1">
      <c r="D184" s="1"/>
      <c r="E184" s="2"/>
    </row>
    <row r="185" spans="4:5" ht="15.75" customHeight="1">
      <c r="D185" s="1"/>
      <c r="E185" s="2"/>
    </row>
    <row r="186" spans="4:5" ht="15.75" customHeight="1">
      <c r="D186" s="1"/>
      <c r="E186" s="2"/>
    </row>
    <row r="187" spans="4:5" ht="15.75" customHeight="1">
      <c r="D187" s="1"/>
      <c r="E187" s="2"/>
    </row>
    <row r="188" spans="4:5" ht="15.75" customHeight="1">
      <c r="D188" s="1"/>
      <c r="E188" s="2"/>
    </row>
    <row r="189" spans="4:5" ht="15.75" customHeight="1">
      <c r="D189" s="1"/>
      <c r="E189" s="2"/>
    </row>
    <row r="190" spans="4:5" ht="15.75" customHeight="1">
      <c r="D190" s="1"/>
      <c r="E190" s="2"/>
    </row>
    <row r="191" spans="4:5" ht="15.75" customHeight="1">
      <c r="D191" s="1"/>
      <c r="E191" s="2"/>
    </row>
    <row r="192" spans="4:5" ht="15.75" customHeight="1">
      <c r="D192" s="1"/>
      <c r="E192" s="2"/>
    </row>
    <row r="193" spans="4:5" ht="15.75" customHeight="1">
      <c r="D193" s="1"/>
      <c r="E193" s="2"/>
    </row>
    <row r="194" spans="4:5" ht="15.75" customHeight="1">
      <c r="D194" s="1"/>
      <c r="E194" s="2"/>
    </row>
    <row r="195" spans="4:5" ht="15.75" customHeight="1">
      <c r="D195" s="1"/>
      <c r="E195" s="2"/>
    </row>
    <row r="196" spans="4:5" ht="15.75" customHeight="1">
      <c r="D196" s="1"/>
      <c r="E196" s="2"/>
    </row>
    <row r="197" spans="4:5" ht="15.75" customHeight="1">
      <c r="D197" s="1"/>
      <c r="E197" s="2"/>
    </row>
    <row r="198" spans="4:5" ht="15.75" customHeight="1">
      <c r="D198" s="1"/>
      <c r="E198" s="2"/>
    </row>
    <row r="199" spans="4:5" ht="15.75" customHeight="1">
      <c r="D199" s="1"/>
      <c r="E199" s="2"/>
    </row>
    <row r="200" spans="4:5" ht="15.75" customHeight="1">
      <c r="D200" s="1"/>
      <c r="E200" s="2"/>
    </row>
    <row r="201" spans="4:5" ht="15.75" customHeight="1">
      <c r="D201" s="1"/>
      <c r="E201" s="2"/>
    </row>
    <row r="202" spans="4:5" ht="15.75" customHeight="1">
      <c r="D202" s="1"/>
      <c r="E202" s="2"/>
    </row>
    <row r="203" spans="4:5" ht="15.75" customHeight="1">
      <c r="D203" s="1"/>
      <c r="E203" s="2"/>
    </row>
    <row r="204" spans="4:5" ht="15.75" customHeight="1">
      <c r="D204" s="1"/>
      <c r="E204" s="2"/>
    </row>
    <row r="205" spans="4:5" ht="15.75" customHeight="1">
      <c r="D205" s="1"/>
      <c r="E205" s="2"/>
    </row>
    <row r="206" spans="4:5" ht="15.75" customHeight="1">
      <c r="D206" s="1"/>
      <c r="E206" s="2"/>
    </row>
    <row r="207" spans="4:5" ht="15.75" customHeight="1">
      <c r="D207" s="1"/>
      <c r="E207" s="2"/>
    </row>
    <row r="208" spans="4:5" ht="15.75" customHeight="1">
      <c r="D208" s="1"/>
      <c r="E208" s="2"/>
    </row>
    <row r="209" spans="4:5" ht="15.75" customHeight="1">
      <c r="D209" s="1"/>
      <c r="E209" s="2"/>
    </row>
    <row r="210" spans="4:5" ht="15.75" customHeight="1">
      <c r="D210" s="1"/>
      <c r="E210" s="2"/>
    </row>
    <row r="211" spans="4:5" ht="15.75" customHeight="1">
      <c r="D211" s="1"/>
      <c r="E211" s="2"/>
    </row>
    <row r="212" spans="4:5" ht="15.75" customHeight="1">
      <c r="D212" s="1"/>
      <c r="E212" s="2"/>
    </row>
    <row r="213" spans="4:5" ht="15.75" customHeight="1">
      <c r="D213" s="1"/>
      <c r="E213" s="2"/>
    </row>
    <row r="214" spans="4:5" ht="15.75" customHeight="1">
      <c r="D214" s="1"/>
      <c r="E214" s="2"/>
    </row>
    <row r="215" spans="4:5" ht="15.75" customHeight="1">
      <c r="D215" s="1"/>
      <c r="E215" s="2"/>
    </row>
    <row r="216" spans="4:5" ht="15.75" customHeight="1">
      <c r="D216" s="1"/>
      <c r="E216" s="2"/>
    </row>
    <row r="217" spans="4:5" ht="15.75" customHeight="1">
      <c r="D217" s="1"/>
      <c r="E217" s="2"/>
    </row>
    <row r="218" spans="4:5" ht="15.75" customHeight="1">
      <c r="D218" s="1"/>
      <c r="E218" s="2"/>
    </row>
    <row r="219" spans="4:5" ht="15.75" customHeight="1">
      <c r="D219" s="1"/>
      <c r="E219" s="2"/>
    </row>
    <row r="220" spans="4:5" ht="15.75" customHeight="1">
      <c r="D220" s="1"/>
      <c r="E220" s="2"/>
    </row>
    <row r="221" spans="4:5" ht="15.75" customHeight="1">
      <c r="D221" s="1"/>
      <c r="E221" s="2"/>
    </row>
    <row r="222" spans="4:5" ht="15.75" customHeight="1">
      <c r="D222" s="1"/>
      <c r="E222" s="2"/>
    </row>
    <row r="223" spans="4:5" ht="15.75" customHeight="1">
      <c r="D223" s="1"/>
      <c r="E223" s="2"/>
    </row>
    <row r="224" spans="4:5" ht="15.75" customHeight="1">
      <c r="D224" s="1"/>
      <c r="E224" s="2"/>
    </row>
    <row r="225" spans="4:5" ht="15.75" customHeight="1">
      <c r="D225" s="1"/>
      <c r="E225" s="2"/>
    </row>
    <row r="226" spans="4:5" ht="15.75" customHeight="1">
      <c r="D226" s="1"/>
      <c r="E226" s="2"/>
    </row>
    <row r="227" spans="4:5" ht="15.75" customHeight="1">
      <c r="D227" s="1"/>
      <c r="E227" s="2"/>
    </row>
    <row r="228" spans="4:5" ht="15.75" customHeight="1">
      <c r="D228" s="1"/>
      <c r="E228" s="2"/>
    </row>
    <row r="229" spans="4:5" ht="15.75" customHeight="1">
      <c r="D229" s="1"/>
      <c r="E229" s="2"/>
    </row>
    <row r="230" spans="4:5" ht="15.75" customHeight="1">
      <c r="D230" s="1"/>
      <c r="E230" s="2"/>
    </row>
    <row r="231" spans="4:5" ht="15.75" customHeight="1">
      <c r="D231" s="1"/>
      <c r="E231" s="2"/>
    </row>
    <row r="232" spans="4:5" ht="15.75" customHeight="1">
      <c r="D232" s="1"/>
      <c r="E232" s="2"/>
    </row>
    <row r="233" spans="4:5" ht="15.75" customHeight="1">
      <c r="D233" s="1"/>
      <c r="E233" s="2"/>
    </row>
    <row r="234" spans="4:5" ht="15.75" customHeight="1">
      <c r="D234" s="1"/>
      <c r="E234" s="2"/>
    </row>
    <row r="235" spans="4:5" ht="15.75" customHeight="1">
      <c r="D235" s="1"/>
      <c r="E235" s="2"/>
    </row>
    <row r="236" spans="4:5" ht="15.75" customHeight="1">
      <c r="D236" s="1"/>
      <c r="E236" s="2"/>
    </row>
    <row r="237" spans="4:5" ht="15.75" customHeight="1">
      <c r="D237" s="1"/>
      <c r="E237" s="2"/>
    </row>
    <row r="238" spans="4:5" ht="15.75" customHeight="1">
      <c r="D238" s="1"/>
      <c r="E238" s="2"/>
    </row>
    <row r="239" spans="4:5" ht="15.75" customHeight="1">
      <c r="D239" s="1"/>
      <c r="E239" s="2"/>
    </row>
    <row r="240" spans="4:5" ht="15.75" customHeight="1">
      <c r="D240" s="1"/>
      <c r="E240" s="2"/>
    </row>
    <row r="241" spans="4:5" ht="15.75" customHeight="1">
      <c r="D241" s="1"/>
      <c r="E241" s="2"/>
    </row>
    <row r="242" spans="4:5" ht="15.75" customHeight="1">
      <c r="D242" s="1"/>
      <c r="E242" s="2"/>
    </row>
    <row r="243" spans="4:5" ht="15.75" customHeight="1">
      <c r="D243" s="1"/>
      <c r="E243" s="2"/>
    </row>
    <row r="244" spans="4:5" ht="15.75" customHeight="1">
      <c r="D244" s="1"/>
      <c r="E244" s="2"/>
    </row>
    <row r="245" spans="4:5" ht="15.75" customHeight="1">
      <c r="D245" s="1"/>
      <c r="E245" s="2"/>
    </row>
    <row r="246" spans="4:5" ht="15.75" customHeight="1">
      <c r="D246" s="1"/>
      <c r="E246" s="2"/>
    </row>
    <row r="247" spans="4:5" ht="15.75" customHeight="1">
      <c r="D247" s="1"/>
      <c r="E247" s="2"/>
    </row>
    <row r="248" spans="4:5" ht="15.75" customHeight="1">
      <c r="D248" s="1"/>
      <c r="E248" s="2"/>
    </row>
    <row r="249" spans="4:5" ht="15.75" customHeight="1">
      <c r="D249" s="1"/>
      <c r="E249" s="2"/>
    </row>
    <row r="250" spans="4:5" ht="15.75" customHeight="1">
      <c r="D250" s="1"/>
      <c r="E250" s="2"/>
    </row>
    <row r="251" spans="4:5" ht="15.75" customHeight="1">
      <c r="D251" s="1"/>
      <c r="E251" s="2"/>
    </row>
    <row r="252" spans="4:5" ht="15.75" customHeight="1">
      <c r="D252" s="1"/>
      <c r="E252" s="2"/>
    </row>
    <row r="253" spans="4:5" ht="15.75" customHeight="1">
      <c r="D253" s="1"/>
      <c r="E253" s="2"/>
    </row>
    <row r="254" spans="4:5" ht="15.75" customHeight="1">
      <c r="D254" s="1"/>
      <c r="E254" s="2"/>
    </row>
    <row r="255" spans="4:5" ht="15.75" customHeight="1">
      <c r="D255" s="1"/>
      <c r="E255" s="2"/>
    </row>
    <row r="256" spans="4:5" ht="15.75" customHeight="1">
      <c r="D256" s="1"/>
      <c r="E256" s="2"/>
    </row>
    <row r="257" spans="4:5" ht="15.75" customHeight="1">
      <c r="D257" s="1"/>
      <c r="E257" s="2"/>
    </row>
    <row r="258" spans="4:5" ht="15.75" customHeight="1">
      <c r="D258" s="1"/>
      <c r="E258" s="2"/>
    </row>
    <row r="259" spans="4:5" ht="15.75" customHeight="1">
      <c r="D259" s="1"/>
      <c r="E259" s="2"/>
    </row>
    <row r="260" spans="4:5" ht="15.75" customHeight="1">
      <c r="D260" s="1"/>
      <c r="E260" s="2"/>
    </row>
    <row r="261" spans="4:5" ht="15.75" customHeight="1">
      <c r="D261" s="1"/>
      <c r="E261" s="2"/>
    </row>
    <row r="262" spans="4:5" ht="15.75" customHeight="1">
      <c r="D262" s="1"/>
      <c r="E262" s="2"/>
    </row>
    <row r="263" spans="4:5" ht="15.75" customHeight="1">
      <c r="D263" s="1"/>
      <c r="E263" s="2"/>
    </row>
    <row r="264" spans="4:5" ht="15.75" customHeight="1">
      <c r="D264" s="1"/>
      <c r="E264" s="2"/>
    </row>
    <row r="265" spans="4:5" ht="15.75" customHeight="1">
      <c r="D265" s="1"/>
      <c r="E265" s="2"/>
    </row>
    <row r="266" spans="4:5" ht="15.75" customHeight="1">
      <c r="D266" s="1"/>
      <c r="E266" s="2"/>
    </row>
    <row r="267" spans="4:5" ht="15.75" customHeight="1">
      <c r="D267" s="1"/>
      <c r="E267" s="2"/>
    </row>
    <row r="268" spans="4:5" ht="15.75" customHeight="1">
      <c r="D268" s="1"/>
      <c r="E268" s="2"/>
    </row>
    <row r="269" spans="4:5" ht="15.75" customHeight="1">
      <c r="D269" s="1"/>
      <c r="E269" s="2"/>
    </row>
    <row r="270" spans="4:5" ht="15.75" customHeight="1">
      <c r="D270" s="1"/>
      <c r="E270" s="2"/>
    </row>
    <row r="271" spans="4:5" ht="15.75" customHeight="1">
      <c r="D271" s="1"/>
      <c r="E271" s="2"/>
    </row>
    <row r="272" spans="4:5" ht="15.75" customHeight="1">
      <c r="D272" s="1"/>
      <c r="E272" s="2"/>
    </row>
    <row r="273" spans="4:5" ht="15.75" customHeight="1">
      <c r="D273" s="1"/>
      <c r="E273" s="2"/>
    </row>
    <row r="274" spans="4:5" ht="15.75" customHeight="1">
      <c r="D274" s="1"/>
      <c r="E274" s="2"/>
    </row>
    <row r="275" spans="4:5" ht="15.75" customHeight="1">
      <c r="D275" s="1"/>
      <c r="E275" s="2"/>
    </row>
    <row r="276" spans="4:5" ht="15.75" customHeight="1">
      <c r="D276" s="1"/>
      <c r="E276" s="2"/>
    </row>
    <row r="277" spans="4:5" ht="15.75" customHeight="1">
      <c r="D277" s="1"/>
      <c r="E277" s="2"/>
    </row>
    <row r="278" spans="4:5" ht="15.75" customHeight="1">
      <c r="D278" s="1"/>
      <c r="E278" s="2"/>
    </row>
    <row r="279" spans="4:5" ht="15.75" customHeight="1">
      <c r="D279" s="1"/>
      <c r="E279" s="2"/>
    </row>
    <row r="280" spans="4:5" ht="15.75" customHeight="1">
      <c r="D280" s="1"/>
      <c r="E280" s="2"/>
    </row>
    <row r="281" spans="4:5" ht="15.75" customHeight="1">
      <c r="D281" s="1"/>
      <c r="E281" s="2"/>
    </row>
    <row r="282" spans="4:5" ht="15.75" customHeight="1">
      <c r="D282" s="1"/>
      <c r="E282" s="2"/>
    </row>
    <row r="283" spans="4:5" ht="15.75" customHeight="1">
      <c r="D283" s="1"/>
      <c r="E283" s="2"/>
    </row>
    <row r="284" spans="4:5" ht="15.75" customHeight="1">
      <c r="D284" s="1"/>
      <c r="E284" s="2"/>
    </row>
    <row r="285" spans="4:5" ht="15.75" customHeight="1">
      <c r="D285" s="1"/>
      <c r="E285" s="2"/>
    </row>
    <row r="286" spans="4:5" ht="15.75" customHeight="1">
      <c r="D286" s="1"/>
      <c r="E286" s="2"/>
    </row>
    <row r="287" spans="4:5" ht="15.75" customHeight="1">
      <c r="D287" s="1"/>
      <c r="E287" s="2"/>
    </row>
    <row r="288" spans="4:5" ht="15.75" customHeight="1">
      <c r="D288" s="1"/>
      <c r="E288" s="2"/>
    </row>
    <row r="289" spans="4:5" ht="15.75" customHeight="1">
      <c r="D289" s="1"/>
      <c r="E289" s="2"/>
    </row>
    <row r="290" spans="4:5" ht="15.75" customHeight="1">
      <c r="D290" s="1"/>
      <c r="E290" s="2"/>
    </row>
    <row r="291" spans="4:5" ht="15.75" customHeight="1">
      <c r="D291" s="1"/>
      <c r="E291" s="2"/>
    </row>
    <row r="292" spans="4:5" ht="15.75" customHeight="1">
      <c r="D292" s="1"/>
      <c r="E292" s="2"/>
    </row>
    <row r="293" spans="4:5" ht="15.75" customHeight="1">
      <c r="D293" s="1"/>
      <c r="E293" s="2"/>
    </row>
    <row r="294" spans="4:5" ht="15.75" customHeight="1">
      <c r="D294" s="1"/>
      <c r="E294" s="2"/>
    </row>
    <row r="295" spans="4:5" ht="15.75" customHeight="1">
      <c r="D295" s="1"/>
      <c r="E295" s="2"/>
    </row>
    <row r="296" spans="4:5" ht="15.75" customHeight="1">
      <c r="D296" s="1"/>
      <c r="E296" s="2"/>
    </row>
    <row r="297" spans="4:5" ht="15.75" customHeight="1">
      <c r="D297" s="1"/>
      <c r="E297" s="2"/>
    </row>
    <row r="298" spans="4:5" ht="15.75" customHeight="1">
      <c r="D298" s="1"/>
      <c r="E298" s="2"/>
    </row>
    <row r="299" spans="4:5" ht="15.75" customHeight="1">
      <c r="D299" s="1"/>
      <c r="E299" s="2"/>
    </row>
    <row r="300" spans="4:5" ht="15.75" customHeight="1">
      <c r="D300" s="1"/>
      <c r="E300" s="2"/>
    </row>
    <row r="301" spans="4:5" ht="15.75" customHeight="1">
      <c r="D301" s="1"/>
      <c r="E301" s="2"/>
    </row>
    <row r="302" spans="4:5" ht="15.75" customHeight="1">
      <c r="D302" s="1"/>
      <c r="E302" s="2"/>
    </row>
    <row r="303" spans="4:5" ht="15.75" customHeight="1">
      <c r="D303" s="1"/>
      <c r="E303" s="2"/>
    </row>
    <row r="304" spans="4:5" ht="15.75" customHeight="1">
      <c r="D304" s="1"/>
      <c r="E304" s="2"/>
    </row>
    <row r="305" spans="4:5" ht="15.75" customHeight="1">
      <c r="D305" s="1"/>
      <c r="E305" s="2"/>
    </row>
    <row r="306" spans="4:5" ht="15.75" customHeight="1">
      <c r="D306" s="1"/>
      <c r="E306" s="2"/>
    </row>
    <row r="307" spans="4:5" ht="15.75" customHeight="1">
      <c r="D307" s="1"/>
      <c r="E307" s="2"/>
    </row>
    <row r="308" spans="4:5" ht="15.75" customHeight="1">
      <c r="D308" s="1"/>
      <c r="E308" s="2"/>
    </row>
    <row r="309" spans="4:5" ht="15.75" customHeight="1">
      <c r="D309" s="1"/>
      <c r="E309" s="2"/>
    </row>
    <row r="310" spans="4:5" ht="15.75" customHeight="1">
      <c r="D310" s="1"/>
      <c r="E310" s="2"/>
    </row>
    <row r="311" spans="4:5" ht="15.75" customHeight="1">
      <c r="D311" s="1"/>
      <c r="E311" s="2"/>
    </row>
    <row r="312" spans="4:5" ht="15.75" customHeight="1">
      <c r="D312" s="1"/>
      <c r="E312" s="2"/>
    </row>
    <row r="313" spans="4:5" ht="15.75" customHeight="1">
      <c r="D313" s="1"/>
      <c r="E313" s="2"/>
    </row>
    <row r="314" spans="4:5" ht="15.75" customHeight="1">
      <c r="D314" s="1"/>
      <c r="E314" s="2"/>
    </row>
    <row r="315" spans="4:5" ht="15.75" customHeight="1">
      <c r="D315" s="1"/>
      <c r="E315" s="2"/>
    </row>
    <row r="316" spans="4:5" ht="15.75" customHeight="1">
      <c r="D316" s="1"/>
      <c r="E316" s="2"/>
    </row>
    <row r="317" spans="4:5" ht="15.75" customHeight="1">
      <c r="D317" s="1"/>
      <c r="E317" s="2"/>
    </row>
    <row r="318" spans="4:5" ht="15.75" customHeight="1">
      <c r="D318" s="1"/>
      <c r="E318" s="2"/>
    </row>
    <row r="319" spans="4:5" ht="15.75" customHeight="1">
      <c r="D319" s="1"/>
      <c r="E319" s="2"/>
    </row>
    <row r="320" spans="4:5" ht="15.75" customHeight="1">
      <c r="D320" s="1"/>
      <c r="E320" s="2"/>
    </row>
    <row r="321" spans="4:5" ht="15.75" customHeight="1">
      <c r="D321" s="1"/>
      <c r="E321" s="2"/>
    </row>
    <row r="322" spans="4:5" ht="15.75" customHeight="1">
      <c r="D322" s="1"/>
      <c r="E322" s="2"/>
    </row>
    <row r="323" spans="4:5" ht="15.75" customHeight="1">
      <c r="D323" s="1"/>
      <c r="E323" s="2"/>
    </row>
    <row r="324" spans="4:5" ht="15.75" customHeight="1">
      <c r="D324" s="1"/>
      <c r="E324" s="2"/>
    </row>
    <row r="325" spans="4:5" ht="15.75" customHeight="1">
      <c r="D325" s="1"/>
      <c r="E325" s="2"/>
    </row>
    <row r="326" spans="4:5" ht="15.75" customHeight="1">
      <c r="D326" s="1"/>
      <c r="E326" s="2"/>
    </row>
    <row r="327" spans="4:5" ht="15.75" customHeight="1">
      <c r="D327" s="1"/>
      <c r="E327" s="2"/>
    </row>
    <row r="328" spans="4:5" ht="15.75" customHeight="1">
      <c r="D328" s="1"/>
      <c r="E328" s="2"/>
    </row>
    <row r="329" spans="4:5" ht="15.75" customHeight="1">
      <c r="D329" s="1"/>
      <c r="E329" s="2"/>
    </row>
    <row r="330" spans="4:5" ht="15.75" customHeight="1">
      <c r="D330" s="1"/>
      <c r="E330" s="2"/>
    </row>
    <row r="331" spans="4:5" ht="15.75" customHeight="1">
      <c r="D331" s="1"/>
      <c r="E331" s="2"/>
    </row>
    <row r="332" spans="4:5" ht="15.75" customHeight="1">
      <c r="D332" s="1"/>
      <c r="E332" s="2"/>
    </row>
    <row r="333" spans="4:5" ht="15.75" customHeight="1">
      <c r="D333" s="1"/>
      <c r="E333" s="2"/>
    </row>
    <row r="334" spans="4:5" ht="15.75" customHeight="1">
      <c r="D334" s="1"/>
      <c r="E334" s="2"/>
    </row>
    <row r="335" spans="4:5" ht="15.75" customHeight="1">
      <c r="D335" s="1"/>
      <c r="E335" s="2"/>
    </row>
    <row r="336" spans="4:5" ht="15.75" customHeight="1">
      <c r="D336" s="1"/>
      <c r="E336" s="2"/>
    </row>
    <row r="337" spans="4:5" ht="15.75" customHeight="1">
      <c r="D337" s="1"/>
      <c r="E337" s="2"/>
    </row>
    <row r="338" spans="4:5" ht="15.75" customHeight="1">
      <c r="D338" s="1"/>
      <c r="E338" s="2"/>
    </row>
    <row r="339" spans="4:5" ht="15.75" customHeight="1">
      <c r="D339" s="1"/>
      <c r="E339" s="2"/>
    </row>
    <row r="340" spans="4:5" ht="15.75" customHeight="1">
      <c r="D340" s="1"/>
      <c r="E340" s="2"/>
    </row>
    <row r="341" spans="4:5" ht="15.75" customHeight="1">
      <c r="D341" s="1"/>
      <c r="E341" s="2"/>
    </row>
    <row r="342" spans="4:5" ht="15.75" customHeight="1">
      <c r="D342" s="1"/>
      <c r="E342" s="2"/>
    </row>
    <row r="343" spans="4:5" ht="15.75" customHeight="1">
      <c r="D343" s="1"/>
      <c r="E343" s="2"/>
    </row>
    <row r="344" spans="4:5" ht="15.75" customHeight="1">
      <c r="D344" s="1"/>
      <c r="E344" s="2"/>
    </row>
    <row r="345" spans="4:5" ht="15.75" customHeight="1">
      <c r="D345" s="1"/>
      <c r="E345" s="2"/>
    </row>
    <row r="346" spans="4:5" ht="15.75" customHeight="1">
      <c r="D346" s="1"/>
      <c r="E346" s="2"/>
    </row>
    <row r="347" spans="4:5" ht="15.75" customHeight="1">
      <c r="D347" s="1"/>
      <c r="E347" s="2"/>
    </row>
    <row r="348" spans="4:5" ht="15.75" customHeight="1">
      <c r="D348" s="1"/>
      <c r="E348" s="2"/>
    </row>
    <row r="349" spans="4:5" ht="15.75" customHeight="1">
      <c r="D349" s="1"/>
      <c r="E349" s="2"/>
    </row>
    <row r="350" spans="4:5" ht="15.75" customHeight="1">
      <c r="D350" s="1"/>
      <c r="E350" s="2"/>
    </row>
    <row r="351" spans="4:5" ht="15.75" customHeight="1">
      <c r="D351" s="1"/>
      <c r="E351" s="2"/>
    </row>
    <row r="352" spans="4:5" ht="15.75" customHeight="1">
      <c r="D352" s="1"/>
      <c r="E352" s="2"/>
    </row>
    <row r="353" spans="4:5" ht="15.75" customHeight="1">
      <c r="D353" s="1"/>
      <c r="E353" s="2"/>
    </row>
    <row r="354" spans="4:5" ht="15.75" customHeight="1">
      <c r="D354" s="1"/>
      <c r="E354" s="2"/>
    </row>
    <row r="355" spans="4:5" ht="15.75" customHeight="1">
      <c r="D355" s="1"/>
      <c r="E355" s="2"/>
    </row>
    <row r="356" spans="4:5" ht="15.75" customHeight="1">
      <c r="D356" s="1"/>
      <c r="E356" s="2"/>
    </row>
    <row r="357" spans="4:5" ht="15.75" customHeight="1">
      <c r="D357" s="1"/>
      <c r="E357" s="2"/>
    </row>
    <row r="358" spans="4:5" ht="15.75" customHeight="1">
      <c r="D358" s="1"/>
      <c r="E358" s="2"/>
    </row>
    <row r="359" spans="4:5" ht="15.75" customHeight="1">
      <c r="D359" s="1"/>
      <c r="E359" s="2"/>
    </row>
    <row r="360" spans="4:5" ht="15.75" customHeight="1">
      <c r="D360" s="1"/>
      <c r="E360" s="2"/>
    </row>
    <row r="361" spans="4:5" ht="15.75" customHeight="1">
      <c r="D361" s="1"/>
      <c r="E361" s="2"/>
    </row>
    <row r="362" spans="4:5" ht="15.75" customHeight="1">
      <c r="D362" s="1"/>
      <c r="E362" s="2"/>
    </row>
    <row r="363" spans="4:5" ht="15.75" customHeight="1">
      <c r="D363" s="1"/>
      <c r="E363" s="2"/>
    </row>
    <row r="364" spans="4:5" ht="15.75" customHeight="1">
      <c r="D364" s="1"/>
      <c r="E364" s="2"/>
    </row>
    <row r="365" spans="4:5" ht="15.75" customHeight="1">
      <c r="D365" s="1"/>
      <c r="E365" s="2"/>
    </row>
    <row r="366" spans="4:5" ht="15.75" customHeight="1">
      <c r="D366" s="1"/>
      <c r="E366" s="2"/>
    </row>
    <row r="367" spans="4:5" ht="15.75" customHeight="1">
      <c r="D367" s="1"/>
      <c r="E367" s="2"/>
    </row>
    <row r="368" spans="4:5" ht="15.75" customHeight="1">
      <c r="D368" s="1"/>
      <c r="E368" s="2"/>
    </row>
    <row r="369" spans="4:5" ht="15.75" customHeight="1">
      <c r="D369" s="1"/>
      <c r="E369" s="2"/>
    </row>
    <row r="370" spans="4:5" ht="15.75" customHeight="1">
      <c r="D370" s="1"/>
      <c r="E370" s="2"/>
    </row>
    <row r="371" spans="4:5" ht="15.75" customHeight="1">
      <c r="D371" s="1"/>
      <c r="E371" s="2"/>
    </row>
    <row r="372" spans="4:5" ht="15.75" customHeight="1">
      <c r="D372" s="1"/>
      <c r="E372" s="2"/>
    </row>
    <row r="373" spans="4:5" ht="15.75" customHeight="1">
      <c r="D373" s="1"/>
      <c r="E373" s="2"/>
    </row>
    <row r="374" spans="4:5" ht="15.75" customHeight="1">
      <c r="D374" s="1"/>
      <c r="E374" s="2"/>
    </row>
    <row r="375" spans="4:5" ht="15.75" customHeight="1">
      <c r="D375" s="1"/>
      <c r="E375" s="2"/>
    </row>
    <row r="376" spans="4:5" ht="15.75" customHeight="1">
      <c r="D376" s="1"/>
      <c r="E376" s="2"/>
    </row>
    <row r="377" spans="4:5" ht="15.75" customHeight="1">
      <c r="D377" s="1"/>
      <c r="E377" s="2"/>
    </row>
    <row r="378" spans="4:5" ht="15.75" customHeight="1">
      <c r="D378" s="1"/>
      <c r="E378" s="2"/>
    </row>
    <row r="379" spans="4:5" ht="15.75" customHeight="1">
      <c r="D379" s="1"/>
      <c r="E379" s="2"/>
    </row>
    <row r="380" spans="4:5" ht="15.75" customHeight="1">
      <c r="D380" s="1"/>
      <c r="E380" s="2"/>
    </row>
    <row r="381" spans="4:5" ht="15.75" customHeight="1">
      <c r="D381" s="1"/>
      <c r="E381" s="2"/>
    </row>
    <row r="382" spans="4:5" ht="15.75" customHeight="1">
      <c r="D382" s="1"/>
      <c r="E382" s="2"/>
    </row>
    <row r="383" spans="4:5" ht="15.75" customHeight="1">
      <c r="D383" s="1"/>
      <c r="E383" s="2"/>
    </row>
    <row r="384" spans="4:5" ht="15.75" customHeight="1">
      <c r="D384" s="1"/>
      <c r="E384" s="2"/>
    </row>
    <row r="385" spans="4:5" ht="15.75" customHeight="1">
      <c r="D385" s="1"/>
      <c r="E385" s="2"/>
    </row>
    <row r="386" spans="4:5" ht="15.75" customHeight="1">
      <c r="D386" s="1"/>
      <c r="E386" s="2"/>
    </row>
    <row r="387" spans="4:5" ht="15.75" customHeight="1">
      <c r="D387" s="1"/>
      <c r="E387" s="2"/>
    </row>
    <row r="388" spans="4:5" ht="15.75" customHeight="1">
      <c r="D388" s="1"/>
      <c r="E388" s="2"/>
    </row>
    <row r="389" spans="4:5" ht="15.75" customHeight="1">
      <c r="D389" s="1"/>
      <c r="E389" s="2"/>
    </row>
    <row r="390" spans="4:5" ht="15.75" customHeight="1">
      <c r="D390" s="1"/>
      <c r="E390" s="2"/>
    </row>
    <row r="391" spans="4:5" ht="15.75" customHeight="1">
      <c r="D391" s="1"/>
      <c r="E391" s="2"/>
    </row>
    <row r="392" spans="4:5" ht="15.75" customHeight="1">
      <c r="D392" s="1"/>
      <c r="E392" s="2"/>
    </row>
    <row r="393" spans="4:5" ht="15.75" customHeight="1">
      <c r="D393" s="1"/>
      <c r="E393" s="2"/>
    </row>
    <row r="394" spans="4:5" ht="15.75" customHeight="1">
      <c r="D394" s="1"/>
      <c r="E394" s="2"/>
    </row>
    <row r="395" spans="4:5" ht="15.75" customHeight="1">
      <c r="D395" s="1"/>
      <c r="E395" s="2"/>
    </row>
    <row r="396" spans="4:5" ht="15.75" customHeight="1">
      <c r="D396" s="1"/>
      <c r="E396" s="2"/>
    </row>
    <row r="397" spans="4:5" ht="15.75" customHeight="1">
      <c r="D397" s="1"/>
      <c r="E397" s="2"/>
    </row>
    <row r="398" spans="4:5" ht="15.75" customHeight="1">
      <c r="D398" s="1"/>
      <c r="E398" s="2"/>
    </row>
    <row r="399" spans="4:5" ht="15.75" customHeight="1">
      <c r="D399" s="1"/>
      <c r="E399" s="2"/>
    </row>
    <row r="400" spans="4:5" ht="15.75" customHeight="1">
      <c r="D400" s="1"/>
      <c r="E400" s="2"/>
    </row>
    <row r="401" spans="4:5" ht="15.75" customHeight="1">
      <c r="D401" s="1"/>
      <c r="E401" s="2"/>
    </row>
    <row r="402" spans="4:5" ht="15.75" customHeight="1">
      <c r="D402" s="1"/>
      <c r="E402" s="2"/>
    </row>
    <row r="403" spans="4:5" ht="15.75" customHeight="1">
      <c r="D403" s="1"/>
      <c r="E403" s="2"/>
    </row>
    <row r="404" spans="4:5" ht="15.75" customHeight="1">
      <c r="D404" s="1"/>
      <c r="E404" s="2"/>
    </row>
    <row r="405" spans="4:5" ht="15.75" customHeight="1">
      <c r="D405" s="1"/>
      <c r="E405" s="2"/>
    </row>
    <row r="406" spans="4:5" ht="15.75" customHeight="1">
      <c r="D406" s="1"/>
      <c r="E406" s="2"/>
    </row>
    <row r="407" spans="4:5" ht="15.75" customHeight="1">
      <c r="D407" s="1"/>
      <c r="E407" s="2"/>
    </row>
    <row r="408" spans="4:5" ht="15.75" customHeight="1">
      <c r="D408" s="1"/>
      <c r="E408" s="2"/>
    </row>
    <row r="409" spans="4:5" ht="15.75" customHeight="1">
      <c r="D409" s="1"/>
      <c r="E409" s="2"/>
    </row>
    <row r="410" spans="4:5" ht="15.75" customHeight="1">
      <c r="D410" s="1"/>
      <c r="E410" s="2"/>
    </row>
    <row r="411" spans="4:5" ht="15.75" customHeight="1">
      <c r="D411" s="1"/>
      <c r="E411" s="2"/>
    </row>
    <row r="412" spans="4:5" ht="15.75" customHeight="1">
      <c r="D412" s="1"/>
      <c r="E412" s="2"/>
    </row>
    <row r="413" spans="4:5" ht="15.75" customHeight="1">
      <c r="D413" s="1"/>
      <c r="E413" s="2"/>
    </row>
    <row r="414" spans="4:5" ht="15.75" customHeight="1">
      <c r="D414" s="1"/>
      <c r="E414" s="2"/>
    </row>
    <row r="415" spans="4:5" ht="15.75" customHeight="1">
      <c r="D415" s="1"/>
      <c r="E415" s="2"/>
    </row>
    <row r="416" spans="4:5" ht="15.75" customHeight="1">
      <c r="D416" s="1"/>
      <c r="E416" s="2"/>
    </row>
    <row r="417" spans="4:5" ht="15.75" customHeight="1">
      <c r="D417" s="1"/>
      <c r="E417" s="2"/>
    </row>
    <row r="418" spans="4:5" ht="15.75" customHeight="1">
      <c r="D418" s="1"/>
      <c r="E418" s="2"/>
    </row>
    <row r="419" spans="4:5" ht="15.75" customHeight="1">
      <c r="D419" s="1"/>
      <c r="E419" s="2"/>
    </row>
    <row r="420" spans="4:5" ht="15.75" customHeight="1">
      <c r="D420" s="1"/>
      <c r="E420" s="2"/>
    </row>
    <row r="421" spans="4:5" ht="15.75" customHeight="1">
      <c r="D421" s="1"/>
      <c r="E421" s="2"/>
    </row>
    <row r="422" spans="4:5" ht="15.75" customHeight="1">
      <c r="D422" s="1"/>
      <c r="E422" s="2"/>
    </row>
    <row r="423" spans="4:5" ht="15.75" customHeight="1">
      <c r="D423" s="1"/>
      <c r="E423" s="2"/>
    </row>
    <row r="424" spans="4:5" ht="15.75" customHeight="1">
      <c r="D424" s="1"/>
      <c r="E424" s="2"/>
    </row>
    <row r="425" spans="4:5" ht="15.75" customHeight="1">
      <c r="D425" s="1"/>
      <c r="E425" s="2"/>
    </row>
    <row r="426" spans="4:5" ht="15.75" customHeight="1">
      <c r="D426" s="1"/>
      <c r="E426" s="2"/>
    </row>
    <row r="427" spans="4:5" ht="15.75" customHeight="1">
      <c r="D427" s="1"/>
      <c r="E427" s="2"/>
    </row>
    <row r="428" spans="4:5" ht="15.75" customHeight="1">
      <c r="D428" s="1"/>
      <c r="E428" s="2"/>
    </row>
    <row r="429" spans="4:5" ht="15.75" customHeight="1">
      <c r="D429" s="1"/>
      <c r="E429" s="2"/>
    </row>
    <row r="430" spans="4:5" ht="15.75" customHeight="1">
      <c r="D430" s="1"/>
      <c r="E430" s="2"/>
    </row>
    <row r="431" spans="4:5" ht="15.75" customHeight="1">
      <c r="D431" s="1"/>
      <c r="E431" s="2"/>
    </row>
    <row r="432" spans="4:5" ht="15.75" customHeight="1">
      <c r="D432" s="1"/>
      <c r="E432" s="2"/>
    </row>
    <row r="433" spans="4:5" ht="15.75" customHeight="1">
      <c r="D433" s="1"/>
      <c r="E433" s="2"/>
    </row>
    <row r="434" spans="4:5" ht="15.75" customHeight="1">
      <c r="D434" s="1"/>
      <c r="E434" s="2"/>
    </row>
    <row r="435" spans="4:5" ht="15.75" customHeight="1">
      <c r="D435" s="1"/>
      <c r="E435" s="2"/>
    </row>
    <row r="436" spans="4:5" ht="15.75" customHeight="1">
      <c r="D436" s="1"/>
      <c r="E436" s="2"/>
    </row>
    <row r="437" spans="4:5" ht="15.75" customHeight="1">
      <c r="D437" s="1"/>
      <c r="E437" s="2"/>
    </row>
    <row r="438" spans="4:5" ht="15.75" customHeight="1">
      <c r="D438" s="1"/>
      <c r="E438" s="2"/>
    </row>
    <row r="439" spans="4:5" ht="15.75" customHeight="1">
      <c r="D439" s="1"/>
      <c r="E439" s="2"/>
    </row>
    <row r="440" spans="4:5" ht="15.75" customHeight="1">
      <c r="D440" s="1"/>
      <c r="E440" s="2"/>
    </row>
    <row r="441" spans="4:5" ht="15.75" customHeight="1">
      <c r="D441" s="1"/>
      <c r="E441" s="2"/>
    </row>
    <row r="442" spans="4:5" ht="15.75" customHeight="1">
      <c r="D442" s="1"/>
      <c r="E442" s="2"/>
    </row>
    <row r="443" spans="4:5" ht="15.75" customHeight="1">
      <c r="D443" s="1"/>
      <c r="E443" s="2"/>
    </row>
    <row r="444" spans="4:5" ht="15.75" customHeight="1">
      <c r="D444" s="1"/>
      <c r="E444" s="2"/>
    </row>
    <row r="445" spans="4:5" ht="15.75" customHeight="1">
      <c r="D445" s="1"/>
      <c r="E445" s="2"/>
    </row>
    <row r="446" spans="4:5" ht="15.75" customHeight="1">
      <c r="D446" s="1"/>
      <c r="E446" s="2"/>
    </row>
    <row r="447" spans="4:5" ht="15.75" customHeight="1">
      <c r="D447" s="1"/>
      <c r="E447" s="2"/>
    </row>
    <row r="448" spans="4:5" ht="15.75" customHeight="1">
      <c r="D448" s="1"/>
      <c r="E448" s="2"/>
    </row>
    <row r="449" spans="4:5" ht="15.75" customHeight="1">
      <c r="D449" s="1"/>
      <c r="E449" s="2"/>
    </row>
    <row r="450" spans="4:5" ht="15.75" customHeight="1">
      <c r="D450" s="1"/>
      <c r="E450" s="2"/>
    </row>
    <row r="451" spans="4:5" ht="15.75" customHeight="1">
      <c r="D451" s="1"/>
      <c r="E451" s="2"/>
    </row>
    <row r="452" spans="4:5" ht="15.75" customHeight="1">
      <c r="D452" s="1"/>
      <c r="E452" s="2"/>
    </row>
    <row r="453" spans="4:5" ht="15.75" customHeight="1">
      <c r="D453" s="1"/>
      <c r="E453" s="2"/>
    </row>
    <row r="454" spans="4:5" ht="15.75" customHeight="1">
      <c r="D454" s="1"/>
      <c r="E454" s="2"/>
    </row>
    <row r="455" spans="4:5" ht="15.75" customHeight="1">
      <c r="D455" s="1"/>
      <c r="E455" s="2"/>
    </row>
    <row r="456" spans="4:5" ht="15.75" customHeight="1">
      <c r="D456" s="1"/>
      <c r="E456" s="2"/>
    </row>
    <row r="457" spans="4:5" ht="15.75" customHeight="1">
      <c r="D457" s="1"/>
      <c r="E457" s="2"/>
    </row>
    <row r="458" spans="4:5" ht="15.75" customHeight="1">
      <c r="D458" s="1"/>
      <c r="E458" s="2"/>
    </row>
    <row r="459" spans="4:5" ht="15.75" customHeight="1">
      <c r="D459" s="1"/>
      <c r="E459" s="2"/>
    </row>
    <row r="460" spans="4:5" ht="15.75" customHeight="1">
      <c r="D460" s="1"/>
      <c r="E460" s="2"/>
    </row>
    <row r="461" spans="4:5" ht="15.75" customHeight="1">
      <c r="D461" s="1"/>
      <c r="E461" s="2"/>
    </row>
    <row r="462" spans="4:5" ht="15.75" customHeight="1">
      <c r="D462" s="1"/>
      <c r="E462" s="2"/>
    </row>
    <row r="463" spans="4:5" ht="15.75" customHeight="1">
      <c r="D463" s="1"/>
      <c r="E463" s="2"/>
    </row>
    <row r="464" spans="4:5" ht="15.75" customHeight="1">
      <c r="D464" s="1"/>
      <c r="E464" s="2"/>
    </row>
    <row r="465" spans="4:5" ht="15.75" customHeight="1">
      <c r="D465" s="1"/>
      <c r="E465" s="2"/>
    </row>
    <row r="466" spans="4:5" ht="15.75" customHeight="1">
      <c r="D466" s="1"/>
      <c r="E466" s="2"/>
    </row>
    <row r="467" spans="4:5" ht="15.75" customHeight="1">
      <c r="D467" s="1"/>
      <c r="E467" s="2"/>
    </row>
    <row r="468" spans="4:5" ht="15.75" customHeight="1">
      <c r="D468" s="1"/>
      <c r="E468" s="2"/>
    </row>
    <row r="469" spans="4:5" ht="15.75" customHeight="1">
      <c r="D469" s="1"/>
      <c r="E469" s="2"/>
    </row>
    <row r="470" spans="4:5" ht="15.75" customHeight="1">
      <c r="D470" s="1"/>
      <c r="E470" s="2"/>
    </row>
    <row r="471" spans="4:5" ht="15.75" customHeight="1">
      <c r="D471" s="1"/>
      <c r="E471" s="2"/>
    </row>
    <row r="472" spans="4:5" ht="15.75" customHeight="1">
      <c r="D472" s="1"/>
      <c r="E472" s="2"/>
    </row>
    <row r="473" spans="4:5" ht="15.75" customHeight="1">
      <c r="D473" s="1"/>
      <c r="E473" s="2"/>
    </row>
    <row r="474" spans="4:5" ht="15.75" customHeight="1">
      <c r="D474" s="1"/>
      <c r="E474" s="2"/>
    </row>
    <row r="475" spans="4:5" ht="15.75" customHeight="1">
      <c r="D475" s="1"/>
      <c r="E475" s="2"/>
    </row>
    <row r="476" spans="4:5" ht="15.75" customHeight="1">
      <c r="D476" s="1"/>
      <c r="E476" s="2"/>
    </row>
    <row r="477" spans="4:5" ht="15.75" customHeight="1">
      <c r="D477" s="1"/>
      <c r="E477" s="2"/>
    </row>
    <row r="478" spans="4:5" ht="15.75" customHeight="1">
      <c r="D478" s="1"/>
      <c r="E478" s="2"/>
    </row>
    <row r="479" spans="4:5" ht="15.75" customHeight="1">
      <c r="D479" s="1"/>
      <c r="E479" s="2"/>
    </row>
    <row r="480" spans="4:5" ht="15.75" customHeight="1">
      <c r="D480" s="1"/>
      <c r="E480" s="2"/>
    </row>
    <row r="481" spans="4:5" ht="15.75" customHeight="1">
      <c r="D481" s="1"/>
      <c r="E481" s="2"/>
    </row>
    <row r="482" spans="4:5" ht="15.75" customHeight="1">
      <c r="D482" s="1"/>
      <c r="E482" s="2"/>
    </row>
    <row r="483" spans="4:5" ht="15.75" customHeight="1">
      <c r="D483" s="1"/>
      <c r="E483" s="2"/>
    </row>
    <row r="484" spans="4:5" ht="15.75" customHeight="1">
      <c r="D484" s="1"/>
      <c r="E484" s="2"/>
    </row>
    <row r="485" spans="4:5" ht="15.75" customHeight="1">
      <c r="D485" s="1"/>
      <c r="E485" s="2"/>
    </row>
    <row r="486" spans="4:5" ht="15.75" customHeight="1">
      <c r="D486" s="1"/>
      <c r="E486" s="2"/>
    </row>
    <row r="487" spans="4:5" ht="15.75" customHeight="1">
      <c r="D487" s="1"/>
      <c r="E487" s="2"/>
    </row>
    <row r="488" spans="4:5" ht="15.75" customHeight="1">
      <c r="D488" s="1"/>
      <c r="E488" s="2"/>
    </row>
    <row r="489" spans="4:5" ht="15.75" customHeight="1">
      <c r="D489" s="1"/>
      <c r="E489" s="2"/>
    </row>
    <row r="490" spans="4:5" ht="15.75" customHeight="1">
      <c r="D490" s="1"/>
      <c r="E490" s="2"/>
    </row>
    <row r="491" spans="4:5" ht="15.75" customHeight="1">
      <c r="D491" s="1"/>
      <c r="E491" s="2"/>
    </row>
    <row r="492" spans="4:5" ht="15.75" customHeight="1">
      <c r="D492" s="1"/>
      <c r="E492" s="2"/>
    </row>
    <row r="493" spans="4:5" ht="15.75" customHeight="1">
      <c r="D493" s="1"/>
      <c r="E493" s="2"/>
    </row>
    <row r="494" spans="4:5" ht="15.75" customHeight="1">
      <c r="D494" s="1"/>
      <c r="E494" s="2"/>
    </row>
    <row r="495" spans="4:5" ht="15.75" customHeight="1">
      <c r="D495" s="1"/>
      <c r="E495" s="2"/>
    </row>
    <row r="496" spans="4:5" ht="15.75" customHeight="1">
      <c r="D496" s="1"/>
      <c r="E496" s="2"/>
    </row>
    <row r="497" spans="4:5" ht="15.75" customHeight="1">
      <c r="D497" s="1"/>
      <c r="E497" s="2"/>
    </row>
    <row r="498" spans="4:5" ht="15.75" customHeight="1">
      <c r="D498" s="1"/>
      <c r="E498" s="2"/>
    </row>
    <row r="499" spans="4:5" ht="15.75" customHeight="1">
      <c r="D499" s="1"/>
      <c r="E499" s="2"/>
    </row>
    <row r="500" spans="4:5" ht="15.75" customHeight="1">
      <c r="D500" s="1"/>
      <c r="E500" s="2"/>
    </row>
    <row r="501" spans="4:5" ht="15.75" customHeight="1">
      <c r="D501" s="1"/>
      <c r="E501" s="2"/>
    </row>
    <row r="502" spans="4:5" ht="15.75" customHeight="1">
      <c r="D502" s="1"/>
      <c r="E502" s="2"/>
    </row>
    <row r="503" spans="4:5" ht="15.75" customHeight="1">
      <c r="D503" s="1"/>
      <c r="E503" s="2"/>
    </row>
    <row r="504" spans="4:5" ht="15.75" customHeight="1">
      <c r="D504" s="1"/>
      <c r="E504" s="2"/>
    </row>
    <row r="505" spans="4:5" ht="15.75" customHeight="1">
      <c r="D505" s="1"/>
      <c r="E505" s="2"/>
    </row>
    <row r="506" spans="4:5" ht="15.75" customHeight="1">
      <c r="D506" s="1"/>
      <c r="E506" s="2"/>
    </row>
    <row r="507" spans="4:5" ht="15.75" customHeight="1">
      <c r="D507" s="1"/>
      <c r="E507" s="2"/>
    </row>
    <row r="508" spans="4:5" ht="15.75" customHeight="1">
      <c r="D508" s="1"/>
      <c r="E508" s="2"/>
    </row>
    <row r="509" spans="4:5" ht="15.75" customHeight="1">
      <c r="D509" s="1"/>
      <c r="E509" s="2"/>
    </row>
    <row r="510" spans="4:5" ht="15.75" customHeight="1">
      <c r="D510" s="1"/>
      <c r="E510" s="2"/>
    </row>
    <row r="511" spans="4:5" ht="15.75" customHeight="1">
      <c r="D511" s="1"/>
      <c r="E511" s="2"/>
    </row>
    <row r="512" spans="4:5" ht="15.75" customHeight="1">
      <c r="D512" s="1"/>
      <c r="E512" s="2"/>
    </row>
    <row r="513" spans="4:5" ht="15.75" customHeight="1">
      <c r="D513" s="1"/>
      <c r="E513" s="2"/>
    </row>
    <row r="514" spans="4:5" ht="15.75" customHeight="1">
      <c r="D514" s="1"/>
      <c r="E514" s="2"/>
    </row>
    <row r="515" spans="4:5" ht="15.75" customHeight="1">
      <c r="D515" s="1"/>
      <c r="E515" s="2"/>
    </row>
    <row r="516" spans="4:5" ht="15.75" customHeight="1">
      <c r="D516" s="1"/>
      <c r="E516" s="2"/>
    </row>
    <row r="517" spans="4:5" ht="15.75" customHeight="1">
      <c r="D517" s="1"/>
      <c r="E517" s="2"/>
    </row>
    <row r="518" spans="4:5" ht="15.75" customHeight="1">
      <c r="D518" s="1"/>
      <c r="E518" s="2"/>
    </row>
    <row r="519" spans="4:5" ht="15.75" customHeight="1">
      <c r="D519" s="1"/>
      <c r="E519" s="2"/>
    </row>
    <row r="520" spans="4:5" ht="15.75" customHeight="1">
      <c r="D520" s="1"/>
      <c r="E520" s="2"/>
    </row>
    <row r="521" spans="4:5" ht="15.75" customHeight="1">
      <c r="D521" s="1"/>
      <c r="E521" s="2"/>
    </row>
    <row r="522" spans="4:5" ht="15.75" customHeight="1">
      <c r="D522" s="1"/>
      <c r="E522" s="2"/>
    </row>
    <row r="523" spans="4:5" ht="15.75" customHeight="1">
      <c r="D523" s="1"/>
      <c r="E523" s="2"/>
    </row>
    <row r="524" spans="4:5" ht="15.75" customHeight="1">
      <c r="D524" s="1"/>
      <c r="E524" s="2"/>
    </row>
    <row r="525" spans="4:5" ht="15.75" customHeight="1">
      <c r="D525" s="1"/>
      <c r="E525" s="2"/>
    </row>
    <row r="526" spans="4:5" ht="15.75" customHeight="1">
      <c r="D526" s="1"/>
      <c r="E526" s="2"/>
    </row>
    <row r="527" spans="4:5" ht="15.75" customHeight="1">
      <c r="D527" s="1"/>
      <c r="E527" s="2"/>
    </row>
    <row r="528" spans="4:5" ht="15.75" customHeight="1">
      <c r="D528" s="1"/>
      <c r="E528" s="2"/>
    </row>
    <row r="529" spans="4:5" ht="15.75" customHeight="1">
      <c r="D529" s="1"/>
      <c r="E529" s="2"/>
    </row>
    <row r="530" spans="4:5" ht="15.75" customHeight="1">
      <c r="D530" s="1"/>
      <c r="E530" s="2"/>
    </row>
    <row r="531" spans="4:5" ht="15.75" customHeight="1">
      <c r="D531" s="1"/>
      <c r="E531" s="2"/>
    </row>
    <row r="532" spans="4:5" ht="15.75" customHeight="1">
      <c r="D532" s="1"/>
      <c r="E532" s="2"/>
    </row>
    <row r="533" spans="4:5" ht="15.75" customHeight="1">
      <c r="D533" s="1"/>
      <c r="E533" s="2"/>
    </row>
    <row r="534" spans="4:5" ht="15.75" customHeight="1">
      <c r="D534" s="1"/>
      <c r="E534" s="2"/>
    </row>
    <row r="535" spans="4:5" ht="15.75" customHeight="1">
      <c r="D535" s="1"/>
      <c r="E535" s="2"/>
    </row>
    <row r="536" spans="4:5" ht="15.75" customHeight="1">
      <c r="D536" s="1"/>
      <c r="E536" s="2"/>
    </row>
    <row r="537" spans="4:5" ht="15.75" customHeight="1">
      <c r="D537" s="1"/>
      <c r="E537" s="2"/>
    </row>
    <row r="538" spans="4:5" ht="15.75" customHeight="1">
      <c r="D538" s="1"/>
      <c r="E538" s="2"/>
    </row>
    <row r="539" spans="4:5" ht="15.75" customHeight="1">
      <c r="D539" s="1"/>
      <c r="E539" s="2"/>
    </row>
    <row r="540" spans="4:5" ht="15.75" customHeight="1">
      <c r="D540" s="1"/>
      <c r="E540" s="2"/>
    </row>
    <row r="541" spans="4:5" ht="15.75" customHeight="1">
      <c r="D541" s="1"/>
      <c r="E541" s="2"/>
    </row>
    <row r="542" spans="4:5" ht="15.75" customHeight="1">
      <c r="D542" s="1"/>
      <c r="E542" s="2"/>
    </row>
    <row r="543" spans="4:5" ht="15.75" customHeight="1">
      <c r="D543" s="1"/>
      <c r="E543" s="2"/>
    </row>
    <row r="544" spans="4:5" ht="15.75" customHeight="1">
      <c r="D544" s="1"/>
      <c r="E544" s="2"/>
    </row>
    <row r="545" spans="4:5" ht="15.75" customHeight="1">
      <c r="D545" s="1"/>
      <c r="E545" s="2"/>
    </row>
    <row r="546" spans="4:5" ht="15.75" customHeight="1">
      <c r="D546" s="1"/>
      <c r="E546" s="2"/>
    </row>
    <row r="547" spans="4:5" ht="15.75" customHeight="1">
      <c r="D547" s="1"/>
      <c r="E547" s="2"/>
    </row>
    <row r="548" spans="4:5" ht="15.75" customHeight="1">
      <c r="D548" s="1"/>
      <c r="E548" s="2"/>
    </row>
    <row r="549" spans="4:5" ht="15.75" customHeight="1">
      <c r="D549" s="1"/>
      <c r="E549" s="2"/>
    </row>
    <row r="550" spans="4:5" ht="15.75" customHeight="1">
      <c r="D550" s="1"/>
      <c r="E550" s="2"/>
    </row>
    <row r="551" spans="4:5" ht="15.75" customHeight="1">
      <c r="D551" s="1"/>
      <c r="E551" s="2"/>
    </row>
    <row r="552" spans="4:5" ht="15.75" customHeight="1">
      <c r="D552" s="1"/>
      <c r="E552" s="2"/>
    </row>
    <row r="553" spans="4:5" ht="15.75" customHeight="1">
      <c r="D553" s="1"/>
      <c r="E553" s="2"/>
    </row>
    <row r="554" spans="4:5" ht="15.75" customHeight="1">
      <c r="D554" s="1"/>
      <c r="E554" s="2"/>
    </row>
    <row r="555" spans="4:5" ht="15.75" customHeight="1">
      <c r="D555" s="1"/>
      <c r="E555" s="2"/>
    </row>
    <row r="556" spans="4:5" ht="15.75" customHeight="1">
      <c r="D556" s="1"/>
      <c r="E556" s="2"/>
    </row>
    <row r="557" spans="4:5" ht="15.75" customHeight="1">
      <c r="D557" s="1"/>
      <c r="E557" s="2"/>
    </row>
    <row r="558" spans="4:5" ht="15.75" customHeight="1">
      <c r="D558" s="1"/>
      <c r="E558" s="2"/>
    </row>
    <row r="559" spans="4:5" ht="15.75" customHeight="1">
      <c r="D559" s="1"/>
      <c r="E559" s="2"/>
    </row>
    <row r="560" spans="4:5" ht="15.75" customHeight="1">
      <c r="D560" s="1"/>
      <c r="E560" s="2"/>
    </row>
    <row r="561" spans="4:5" ht="15.75" customHeight="1">
      <c r="D561" s="1"/>
      <c r="E561" s="2"/>
    </row>
    <row r="562" spans="4:5" ht="15.75" customHeight="1">
      <c r="D562" s="1"/>
      <c r="E562" s="2"/>
    </row>
    <row r="563" spans="4:5" ht="15.75" customHeight="1">
      <c r="D563" s="1"/>
      <c r="E563" s="2"/>
    </row>
    <row r="564" spans="4:5" ht="15.75" customHeight="1">
      <c r="D564" s="1"/>
      <c r="E564" s="2"/>
    </row>
    <row r="565" spans="4:5" ht="15.75" customHeight="1">
      <c r="D565" s="1"/>
      <c r="E565" s="2"/>
    </row>
    <row r="566" spans="4:5" ht="15.75" customHeight="1">
      <c r="D566" s="1"/>
      <c r="E566" s="2"/>
    </row>
    <row r="567" spans="4:5" ht="15.75" customHeight="1">
      <c r="D567" s="1"/>
      <c r="E567" s="2"/>
    </row>
    <row r="568" spans="4:5" ht="15.75" customHeight="1">
      <c r="D568" s="1"/>
      <c r="E568" s="2"/>
    </row>
    <row r="569" spans="4:5" ht="15.75" customHeight="1">
      <c r="D569" s="1"/>
      <c r="E569" s="2"/>
    </row>
    <row r="570" spans="4:5" ht="15.75" customHeight="1">
      <c r="D570" s="1"/>
      <c r="E570" s="2"/>
    </row>
    <row r="571" spans="4:5" ht="15.75" customHeight="1">
      <c r="D571" s="1"/>
      <c r="E571" s="2"/>
    </row>
    <row r="572" spans="4:5" ht="15.75" customHeight="1">
      <c r="D572" s="1"/>
      <c r="E572" s="2"/>
    </row>
    <row r="573" spans="4:5" ht="15.75" customHeight="1">
      <c r="D573" s="1"/>
      <c r="E573" s="2"/>
    </row>
    <row r="574" spans="4:5" ht="15.75" customHeight="1">
      <c r="D574" s="1"/>
      <c r="E574" s="2"/>
    </row>
    <row r="575" spans="4:5" ht="15.75" customHeight="1">
      <c r="D575" s="1"/>
      <c r="E575" s="2"/>
    </row>
    <row r="576" spans="4:5" ht="15.75" customHeight="1">
      <c r="D576" s="1"/>
      <c r="E576" s="2"/>
    </row>
    <row r="577" spans="4:5" ht="15.75" customHeight="1">
      <c r="D577" s="1"/>
      <c r="E577" s="2"/>
    </row>
    <row r="578" spans="4:5" ht="15.75" customHeight="1">
      <c r="D578" s="1"/>
      <c r="E578" s="2"/>
    </row>
    <row r="579" spans="4:5" ht="15.75" customHeight="1">
      <c r="D579" s="1"/>
      <c r="E579" s="2"/>
    </row>
    <row r="580" spans="4:5" ht="15.75" customHeight="1">
      <c r="D580" s="1"/>
      <c r="E580" s="2"/>
    </row>
    <row r="581" spans="4:5" ht="15.75" customHeight="1">
      <c r="D581" s="1"/>
      <c r="E581" s="2"/>
    </row>
    <row r="582" spans="4:5" ht="15.75" customHeight="1">
      <c r="D582" s="1"/>
      <c r="E582" s="2"/>
    </row>
    <row r="583" spans="4:5" ht="15.75" customHeight="1">
      <c r="D583" s="1"/>
      <c r="E583" s="2"/>
    </row>
    <row r="584" spans="4:5" ht="15.75" customHeight="1">
      <c r="D584" s="1"/>
      <c r="E584" s="2"/>
    </row>
    <row r="585" spans="4:5" ht="15.75" customHeight="1">
      <c r="D585" s="1"/>
      <c r="E585" s="2"/>
    </row>
    <row r="586" spans="4:5" ht="15.75" customHeight="1">
      <c r="D586" s="1"/>
      <c r="E586" s="2"/>
    </row>
    <row r="587" spans="4:5" ht="15.75" customHeight="1">
      <c r="D587" s="1"/>
      <c r="E587" s="2"/>
    </row>
    <row r="588" spans="4:5" ht="15.75" customHeight="1">
      <c r="D588" s="1"/>
      <c r="E588" s="2"/>
    </row>
    <row r="589" spans="4:5" ht="15.75" customHeight="1">
      <c r="D589" s="1"/>
      <c r="E589" s="2"/>
    </row>
    <row r="590" spans="4:5" ht="15.75" customHeight="1">
      <c r="D590" s="1"/>
      <c r="E590" s="2"/>
    </row>
    <row r="591" spans="4:5" ht="15.75" customHeight="1">
      <c r="D591" s="1"/>
      <c r="E591" s="2"/>
    </row>
    <row r="592" spans="4:5" ht="15.75" customHeight="1">
      <c r="D592" s="1"/>
      <c r="E592" s="2"/>
    </row>
    <row r="593" spans="4:5" ht="15.75" customHeight="1">
      <c r="D593" s="1"/>
      <c r="E593" s="2"/>
    </row>
    <row r="594" spans="4:5" ht="15.75" customHeight="1">
      <c r="D594" s="1"/>
      <c r="E594" s="2"/>
    </row>
    <row r="595" spans="4:5" ht="15.75" customHeight="1">
      <c r="D595" s="1"/>
      <c r="E595" s="2"/>
    </row>
    <row r="596" spans="4:5" ht="15.75" customHeight="1">
      <c r="D596" s="1"/>
      <c r="E596" s="2"/>
    </row>
    <row r="597" spans="4:5" ht="15.75" customHeight="1">
      <c r="D597" s="1"/>
      <c r="E597" s="2"/>
    </row>
    <row r="598" spans="4:5" ht="15.75" customHeight="1">
      <c r="D598" s="1"/>
      <c r="E598" s="2"/>
    </row>
    <row r="599" spans="4:5" ht="15.75" customHeight="1">
      <c r="D599" s="1"/>
      <c r="E599" s="2"/>
    </row>
    <row r="600" spans="4:5" ht="15.75" customHeight="1">
      <c r="D600" s="1"/>
      <c r="E600" s="2"/>
    </row>
    <row r="601" spans="4:5" ht="15.75" customHeight="1">
      <c r="D601" s="1"/>
      <c r="E601" s="2"/>
    </row>
    <row r="602" spans="4:5" ht="15.75" customHeight="1">
      <c r="D602" s="1"/>
      <c r="E602" s="2"/>
    </row>
    <row r="603" spans="4:5" ht="15.75" customHeight="1">
      <c r="D603" s="1"/>
      <c r="E603" s="2"/>
    </row>
    <row r="604" spans="4:5" ht="15.75" customHeight="1">
      <c r="D604" s="1"/>
      <c r="E604" s="2"/>
    </row>
    <row r="605" spans="4:5" ht="15.75" customHeight="1">
      <c r="D605" s="1"/>
      <c r="E605" s="2"/>
    </row>
    <row r="606" spans="4:5" ht="15.75" customHeight="1">
      <c r="D606" s="1"/>
      <c r="E606" s="2"/>
    </row>
    <row r="607" spans="4:5" ht="15.75" customHeight="1">
      <c r="D607" s="1"/>
      <c r="E607" s="2"/>
    </row>
    <row r="608" spans="4:5" ht="15.75" customHeight="1">
      <c r="D608" s="1"/>
      <c r="E608" s="2"/>
    </row>
    <row r="609" spans="4:5" ht="15.75" customHeight="1">
      <c r="D609" s="1"/>
      <c r="E609" s="2"/>
    </row>
    <row r="610" spans="4:5" ht="15.75" customHeight="1">
      <c r="D610" s="1"/>
      <c r="E610" s="2"/>
    </row>
    <row r="611" spans="4:5" ht="15.75" customHeight="1">
      <c r="D611" s="1"/>
      <c r="E611" s="2"/>
    </row>
    <row r="612" spans="4:5" ht="15.75" customHeight="1">
      <c r="D612" s="1"/>
      <c r="E612" s="2"/>
    </row>
    <row r="613" spans="4:5" ht="15.75" customHeight="1">
      <c r="D613" s="1"/>
      <c r="E613" s="2"/>
    </row>
    <row r="614" spans="4:5" ht="15.75" customHeight="1">
      <c r="D614" s="1"/>
      <c r="E614" s="2"/>
    </row>
    <row r="615" spans="4:5" ht="15.75" customHeight="1">
      <c r="D615" s="1"/>
      <c r="E615" s="2"/>
    </row>
    <row r="616" spans="4:5" ht="15.75" customHeight="1">
      <c r="D616" s="1"/>
      <c r="E616" s="2"/>
    </row>
    <row r="617" spans="4:5" ht="15.75" customHeight="1">
      <c r="D617" s="1"/>
      <c r="E617" s="2"/>
    </row>
    <row r="618" spans="4:5" ht="15.75" customHeight="1">
      <c r="D618" s="1"/>
      <c r="E618" s="2"/>
    </row>
    <row r="619" spans="4:5" ht="15.75" customHeight="1">
      <c r="D619" s="1"/>
      <c r="E619" s="2"/>
    </row>
    <row r="620" spans="4:5" ht="15.75" customHeight="1">
      <c r="D620" s="1"/>
      <c r="E620" s="2"/>
    </row>
    <row r="621" spans="4:5" ht="15.75" customHeight="1">
      <c r="D621" s="1"/>
      <c r="E621" s="2"/>
    </row>
    <row r="622" spans="4:5" ht="15.75" customHeight="1">
      <c r="D622" s="1"/>
      <c r="E622" s="2"/>
    </row>
    <row r="623" spans="4:5" ht="15.75" customHeight="1">
      <c r="D623" s="1"/>
      <c r="E623" s="2"/>
    </row>
    <row r="624" spans="4:5" ht="15.75" customHeight="1">
      <c r="D624" s="1"/>
      <c r="E624" s="2"/>
    </row>
    <row r="625" spans="4:5" ht="15.75" customHeight="1">
      <c r="D625" s="1"/>
      <c r="E625" s="2"/>
    </row>
    <row r="626" spans="4:5" ht="15.75" customHeight="1">
      <c r="D626" s="1"/>
      <c r="E626" s="2"/>
    </row>
    <row r="627" spans="4:5" ht="15.75" customHeight="1">
      <c r="D627" s="1"/>
      <c r="E627" s="2"/>
    </row>
    <row r="628" spans="4:5" ht="15.75" customHeight="1">
      <c r="D628" s="1"/>
      <c r="E628" s="2"/>
    </row>
    <row r="629" spans="4:5" ht="15.75" customHeight="1">
      <c r="D629" s="1"/>
      <c r="E629" s="2"/>
    </row>
    <row r="630" spans="4:5" ht="15.75" customHeight="1">
      <c r="D630" s="1"/>
      <c r="E630" s="2"/>
    </row>
    <row r="631" spans="4:5" ht="15.75" customHeight="1">
      <c r="D631" s="1"/>
      <c r="E631" s="2"/>
    </row>
    <row r="632" spans="4:5" ht="15.75" customHeight="1">
      <c r="D632" s="1"/>
      <c r="E632" s="2"/>
    </row>
    <row r="633" spans="4:5" ht="15.75" customHeight="1">
      <c r="D633" s="1"/>
      <c r="E633" s="2"/>
    </row>
    <row r="634" spans="4:5" ht="15.75" customHeight="1">
      <c r="D634" s="1"/>
      <c r="E634" s="2"/>
    </row>
    <row r="635" spans="4:5" ht="15.75" customHeight="1">
      <c r="D635" s="1"/>
      <c r="E635" s="2"/>
    </row>
    <row r="636" spans="4:5" ht="15.75" customHeight="1">
      <c r="D636" s="1"/>
      <c r="E636" s="2"/>
    </row>
    <row r="637" spans="4:5" ht="15.75" customHeight="1">
      <c r="D637" s="1"/>
      <c r="E637" s="2"/>
    </row>
    <row r="638" spans="4:5" ht="15.75" customHeight="1">
      <c r="D638" s="1"/>
      <c r="E638" s="2"/>
    </row>
    <row r="639" spans="4:5" ht="15.75" customHeight="1">
      <c r="D639" s="1"/>
      <c r="E639" s="2"/>
    </row>
    <row r="640" spans="4:5" ht="15.75" customHeight="1">
      <c r="D640" s="1"/>
      <c r="E640" s="2"/>
    </row>
    <row r="641" spans="4:5" ht="15.75" customHeight="1">
      <c r="D641" s="1"/>
      <c r="E641" s="2"/>
    </row>
    <row r="642" spans="4:5" ht="15.75" customHeight="1">
      <c r="D642" s="1"/>
      <c r="E642" s="2"/>
    </row>
    <row r="643" spans="4:5" ht="15.75" customHeight="1">
      <c r="D643" s="1"/>
      <c r="E643" s="2"/>
    </row>
    <row r="644" spans="4:5" ht="15.75" customHeight="1">
      <c r="D644" s="1"/>
      <c r="E644" s="2"/>
    </row>
    <row r="645" spans="4:5" ht="15.75" customHeight="1">
      <c r="D645" s="1"/>
      <c r="E645" s="2"/>
    </row>
    <row r="646" spans="4:5" ht="15.75" customHeight="1">
      <c r="D646" s="1"/>
      <c r="E646" s="2"/>
    </row>
    <row r="647" spans="4:5" ht="15.75" customHeight="1">
      <c r="D647" s="1"/>
      <c r="E647" s="2"/>
    </row>
    <row r="648" spans="4:5" ht="15.75" customHeight="1">
      <c r="D648" s="1"/>
      <c r="E648" s="2"/>
    </row>
    <row r="649" spans="4:5" ht="15.75" customHeight="1">
      <c r="D649" s="1"/>
      <c r="E649" s="2"/>
    </row>
    <row r="650" spans="4:5" ht="15.75" customHeight="1">
      <c r="D650" s="1"/>
      <c r="E650" s="2"/>
    </row>
    <row r="651" spans="4:5" ht="15.75" customHeight="1">
      <c r="D651" s="1"/>
      <c r="E651" s="2"/>
    </row>
    <row r="652" spans="4:5" ht="15.75" customHeight="1">
      <c r="D652" s="1"/>
      <c r="E652" s="2"/>
    </row>
    <row r="653" spans="4:5" ht="15.75" customHeight="1">
      <c r="D653" s="1"/>
      <c r="E653" s="2"/>
    </row>
    <row r="654" spans="4:5" ht="15.75" customHeight="1">
      <c r="D654" s="1"/>
      <c r="E654" s="2"/>
    </row>
    <row r="655" spans="4:5" ht="15.75" customHeight="1">
      <c r="D655" s="1"/>
      <c r="E655" s="2"/>
    </row>
    <row r="656" spans="4:5" ht="15.75" customHeight="1">
      <c r="D656" s="1"/>
      <c r="E656" s="2"/>
    </row>
    <row r="657" spans="4:5" ht="15.75" customHeight="1">
      <c r="D657" s="1"/>
      <c r="E657" s="2"/>
    </row>
    <row r="658" spans="4:5" ht="15.75" customHeight="1">
      <c r="D658" s="1"/>
      <c r="E658" s="2"/>
    </row>
    <row r="659" spans="4:5" ht="15.75" customHeight="1">
      <c r="D659" s="1"/>
      <c r="E659" s="2"/>
    </row>
    <row r="660" spans="4:5" ht="15.75" customHeight="1">
      <c r="D660" s="1"/>
      <c r="E660" s="2"/>
    </row>
    <row r="661" spans="4:5" ht="15.75" customHeight="1">
      <c r="D661" s="1"/>
      <c r="E661" s="2"/>
    </row>
    <row r="662" spans="4:5" ht="15.75" customHeight="1">
      <c r="D662" s="1"/>
      <c r="E662" s="2"/>
    </row>
    <row r="663" spans="4:5" ht="15.75" customHeight="1">
      <c r="D663" s="1"/>
      <c r="E663" s="2"/>
    </row>
    <row r="664" spans="4:5" ht="15.75" customHeight="1">
      <c r="D664" s="1"/>
      <c r="E664" s="2"/>
    </row>
    <row r="665" spans="4:5" ht="15.75" customHeight="1">
      <c r="D665" s="1"/>
      <c r="E665" s="2"/>
    </row>
    <row r="666" spans="4:5" ht="15.75" customHeight="1">
      <c r="D666" s="1"/>
      <c r="E666" s="2"/>
    </row>
    <row r="667" spans="4:5" ht="15.75" customHeight="1">
      <c r="D667" s="1"/>
      <c r="E667" s="2"/>
    </row>
    <row r="668" spans="4:5" ht="15.75" customHeight="1">
      <c r="D668" s="1"/>
      <c r="E668" s="2"/>
    </row>
    <row r="669" spans="4:5" ht="15.75" customHeight="1">
      <c r="D669" s="1"/>
      <c r="E669" s="2"/>
    </row>
    <row r="670" spans="4:5" ht="15.75" customHeight="1">
      <c r="D670" s="1"/>
      <c r="E670" s="2"/>
    </row>
    <row r="671" spans="4:5" ht="15.75" customHeight="1">
      <c r="D671" s="1"/>
      <c r="E671" s="2"/>
    </row>
    <row r="672" spans="4:5" ht="15.75" customHeight="1">
      <c r="D672" s="1"/>
      <c r="E672" s="2"/>
    </row>
    <row r="673" spans="4:5" ht="15.75" customHeight="1">
      <c r="D673" s="1"/>
      <c r="E673" s="2"/>
    </row>
    <row r="674" spans="4:5" ht="15.75" customHeight="1">
      <c r="D674" s="1"/>
      <c r="E674" s="2"/>
    </row>
    <row r="675" spans="4:5" ht="15.75" customHeight="1">
      <c r="D675" s="1"/>
      <c r="E675" s="2"/>
    </row>
    <row r="676" spans="4:5" ht="15.75" customHeight="1">
      <c r="D676" s="1"/>
      <c r="E676" s="2"/>
    </row>
    <row r="677" spans="4:5" ht="15.75" customHeight="1">
      <c r="D677" s="1"/>
      <c r="E677" s="2"/>
    </row>
    <row r="678" spans="4:5" ht="15.75" customHeight="1">
      <c r="D678" s="1"/>
      <c r="E678" s="2"/>
    </row>
    <row r="679" spans="4:5" ht="15.75" customHeight="1">
      <c r="D679" s="1"/>
      <c r="E679" s="2"/>
    </row>
    <row r="680" spans="4:5" ht="15.75" customHeight="1">
      <c r="D680" s="1"/>
      <c r="E680" s="2"/>
    </row>
    <row r="681" spans="4:5" ht="15.75" customHeight="1">
      <c r="D681" s="1"/>
      <c r="E681" s="2"/>
    </row>
    <row r="682" spans="4:5" ht="15.75" customHeight="1">
      <c r="D682" s="1"/>
      <c r="E682" s="2"/>
    </row>
    <row r="683" spans="4:5" ht="15.75" customHeight="1">
      <c r="D683" s="1"/>
      <c r="E683" s="2"/>
    </row>
    <row r="684" spans="4:5" ht="15.75" customHeight="1">
      <c r="D684" s="1"/>
      <c r="E684" s="2"/>
    </row>
    <row r="685" spans="4:5" ht="15.75" customHeight="1">
      <c r="D685" s="1"/>
      <c r="E685" s="2"/>
    </row>
    <row r="686" spans="4:5" ht="15.75" customHeight="1">
      <c r="D686" s="1"/>
      <c r="E686" s="2"/>
    </row>
    <row r="687" spans="4:5" ht="15.75" customHeight="1">
      <c r="D687" s="1"/>
      <c r="E687" s="2"/>
    </row>
    <row r="688" spans="4:5" ht="15.75" customHeight="1">
      <c r="D688" s="1"/>
      <c r="E688" s="2"/>
    </row>
    <row r="689" spans="4:5" ht="15.75" customHeight="1">
      <c r="D689" s="1"/>
      <c r="E689" s="2"/>
    </row>
    <row r="690" spans="4:5" ht="15.75" customHeight="1">
      <c r="D690" s="1"/>
      <c r="E690" s="2"/>
    </row>
    <row r="691" spans="4:5" ht="15.75" customHeight="1">
      <c r="D691" s="1"/>
      <c r="E691" s="2"/>
    </row>
    <row r="692" spans="4:5" ht="15.75" customHeight="1">
      <c r="D692" s="1"/>
      <c r="E692" s="2"/>
    </row>
    <row r="693" spans="4:5" ht="15.75" customHeight="1">
      <c r="D693" s="1"/>
      <c r="E693" s="2"/>
    </row>
    <row r="694" spans="4:5" ht="15.75" customHeight="1">
      <c r="D694" s="1"/>
      <c r="E694" s="2"/>
    </row>
    <row r="695" spans="4:5" ht="15.75" customHeight="1">
      <c r="D695" s="1"/>
      <c r="E695" s="2"/>
    </row>
    <row r="696" spans="4:5" ht="15.75" customHeight="1">
      <c r="D696" s="1"/>
      <c r="E696" s="2"/>
    </row>
    <row r="697" spans="4:5" ht="15.75" customHeight="1">
      <c r="D697" s="1"/>
      <c r="E697" s="2"/>
    </row>
    <row r="698" spans="4:5" ht="15.75" customHeight="1">
      <c r="D698" s="1"/>
      <c r="E698" s="2"/>
    </row>
    <row r="699" spans="4:5" ht="15.75" customHeight="1">
      <c r="D699" s="1"/>
      <c r="E699" s="2"/>
    </row>
    <row r="700" spans="4:5" ht="15.75" customHeight="1">
      <c r="D700" s="1"/>
      <c r="E700" s="2"/>
    </row>
    <row r="701" spans="4:5" ht="15.75" customHeight="1">
      <c r="D701" s="1"/>
      <c r="E701" s="2"/>
    </row>
    <row r="702" spans="4:5" ht="15.75" customHeight="1">
      <c r="D702" s="1"/>
      <c r="E702" s="2"/>
    </row>
    <row r="703" spans="4:5" ht="15.75" customHeight="1">
      <c r="D703" s="1"/>
      <c r="E703" s="2"/>
    </row>
    <row r="704" spans="4:5" ht="15.75" customHeight="1">
      <c r="D704" s="1"/>
      <c r="E704" s="2"/>
    </row>
    <row r="705" spans="4:5" ht="15.75" customHeight="1">
      <c r="D705" s="1"/>
      <c r="E705" s="2"/>
    </row>
    <row r="706" spans="4:5" ht="15.75" customHeight="1">
      <c r="D706" s="1"/>
      <c r="E706" s="2"/>
    </row>
    <row r="707" spans="4:5" ht="15.75" customHeight="1">
      <c r="D707" s="1"/>
      <c r="E707" s="2"/>
    </row>
    <row r="708" spans="4:5" ht="15.75" customHeight="1">
      <c r="D708" s="1"/>
      <c r="E708" s="2"/>
    </row>
    <row r="709" spans="4:5" ht="15.75" customHeight="1">
      <c r="D709" s="1"/>
      <c r="E709" s="2"/>
    </row>
    <row r="710" spans="4:5" ht="15.75" customHeight="1">
      <c r="D710" s="1"/>
      <c r="E710" s="2"/>
    </row>
    <row r="711" spans="4:5" ht="15.75" customHeight="1">
      <c r="D711" s="1"/>
      <c r="E711" s="2"/>
    </row>
    <row r="712" spans="4:5" ht="15.75" customHeight="1">
      <c r="D712" s="1"/>
      <c r="E712" s="2"/>
    </row>
    <row r="713" spans="4:5" ht="15.75" customHeight="1">
      <c r="D713" s="1"/>
      <c r="E713" s="2"/>
    </row>
    <row r="714" spans="4:5" ht="15.75" customHeight="1">
      <c r="D714" s="1"/>
      <c r="E714" s="2"/>
    </row>
    <row r="715" spans="4:5" ht="15.75" customHeight="1">
      <c r="D715" s="1"/>
      <c r="E715" s="2"/>
    </row>
    <row r="716" spans="4:5" ht="15.75" customHeight="1">
      <c r="D716" s="1"/>
      <c r="E716" s="2"/>
    </row>
    <row r="717" spans="4:5" ht="15.75" customHeight="1">
      <c r="D717" s="1"/>
      <c r="E717" s="2"/>
    </row>
    <row r="718" spans="4:5" ht="15.75" customHeight="1">
      <c r="D718" s="1"/>
      <c r="E718" s="2"/>
    </row>
    <row r="719" spans="4:5" ht="15.75" customHeight="1">
      <c r="D719" s="1"/>
      <c r="E719" s="2"/>
    </row>
    <row r="720" spans="4:5" ht="15.75" customHeight="1">
      <c r="D720" s="1"/>
      <c r="E720" s="2"/>
    </row>
    <row r="721" spans="4:5" ht="15.75" customHeight="1">
      <c r="D721" s="1"/>
      <c r="E721" s="2"/>
    </row>
    <row r="722" spans="4:5" ht="15.75" customHeight="1">
      <c r="D722" s="1"/>
      <c r="E722" s="2"/>
    </row>
    <row r="723" spans="4:5" ht="15.75" customHeight="1">
      <c r="D723" s="1"/>
      <c r="E723" s="2"/>
    </row>
    <row r="724" spans="4:5" ht="15.75" customHeight="1">
      <c r="D724" s="1"/>
      <c r="E724" s="2"/>
    </row>
    <row r="725" spans="4:5" ht="15.75" customHeight="1">
      <c r="D725" s="1"/>
      <c r="E725" s="2"/>
    </row>
    <row r="726" spans="4:5" ht="15.75" customHeight="1">
      <c r="D726" s="1"/>
      <c r="E726" s="2"/>
    </row>
    <row r="727" spans="4:5" ht="15.75" customHeight="1">
      <c r="D727" s="1"/>
      <c r="E727" s="2"/>
    </row>
    <row r="728" spans="4:5" ht="15.75" customHeight="1">
      <c r="D728" s="1"/>
      <c r="E728" s="2"/>
    </row>
    <row r="729" spans="4:5" ht="15.75" customHeight="1">
      <c r="D729" s="1"/>
      <c r="E729" s="2"/>
    </row>
    <row r="730" spans="4:5" ht="15.75" customHeight="1">
      <c r="D730" s="1"/>
      <c r="E730" s="2"/>
    </row>
    <row r="731" spans="4:5" ht="15.75" customHeight="1">
      <c r="D731" s="1"/>
      <c r="E731" s="2"/>
    </row>
    <row r="732" spans="4:5" ht="15.75" customHeight="1">
      <c r="D732" s="1"/>
      <c r="E732" s="2"/>
    </row>
    <row r="733" spans="4:5" ht="15.75" customHeight="1">
      <c r="D733" s="1"/>
      <c r="E733" s="2"/>
    </row>
    <row r="734" spans="4:5" ht="15.75" customHeight="1">
      <c r="D734" s="1"/>
      <c r="E734" s="2"/>
    </row>
    <row r="735" spans="4:5" ht="15.75" customHeight="1">
      <c r="D735" s="1"/>
      <c r="E735" s="2"/>
    </row>
    <row r="736" spans="4:5" ht="15.75" customHeight="1">
      <c r="D736" s="1"/>
      <c r="E736" s="2"/>
    </row>
    <row r="737" spans="4:5" ht="15.75" customHeight="1">
      <c r="D737" s="1"/>
      <c r="E737" s="2"/>
    </row>
    <row r="738" spans="4:5" ht="15.75" customHeight="1">
      <c r="D738" s="1"/>
      <c r="E738" s="2"/>
    </row>
    <row r="739" spans="4:5" ht="15.75" customHeight="1">
      <c r="D739" s="1"/>
      <c r="E739" s="2"/>
    </row>
    <row r="740" spans="4:5" ht="15.75" customHeight="1">
      <c r="D740" s="1"/>
      <c r="E740" s="2"/>
    </row>
    <row r="741" spans="4:5" ht="15.75" customHeight="1">
      <c r="D741" s="1"/>
      <c r="E741" s="2"/>
    </row>
    <row r="742" spans="4:5" ht="15.75" customHeight="1">
      <c r="D742" s="1"/>
      <c r="E742" s="2"/>
    </row>
    <row r="743" spans="4:5" ht="15.75" customHeight="1">
      <c r="D743" s="1"/>
      <c r="E743" s="2"/>
    </row>
    <row r="744" spans="4:5" ht="15.75" customHeight="1">
      <c r="D744" s="1"/>
      <c r="E744" s="2"/>
    </row>
    <row r="745" spans="4:5" ht="15.75" customHeight="1">
      <c r="D745" s="1"/>
      <c r="E745" s="2"/>
    </row>
    <row r="746" spans="4:5" ht="15.75" customHeight="1">
      <c r="D746" s="1"/>
      <c r="E746" s="2"/>
    </row>
    <row r="747" spans="4:5" ht="15.75" customHeight="1">
      <c r="D747" s="1"/>
      <c r="E747" s="2"/>
    </row>
    <row r="748" spans="4:5" ht="15.75" customHeight="1">
      <c r="D748" s="1"/>
      <c r="E748" s="2"/>
    </row>
    <row r="749" spans="4:5" ht="15.75" customHeight="1">
      <c r="D749" s="1"/>
      <c r="E749" s="2"/>
    </row>
    <row r="750" spans="4:5" ht="15.75" customHeight="1">
      <c r="D750" s="1"/>
      <c r="E750" s="2"/>
    </row>
    <row r="751" spans="4:5" ht="15.75" customHeight="1">
      <c r="D751" s="1"/>
      <c r="E751" s="2"/>
    </row>
    <row r="752" spans="4:5" ht="15.75" customHeight="1">
      <c r="D752" s="1"/>
      <c r="E752" s="2"/>
    </row>
    <row r="753" spans="4:5" ht="15.75" customHeight="1">
      <c r="D753" s="1"/>
      <c r="E753" s="2"/>
    </row>
    <row r="754" spans="4:5" ht="15.75" customHeight="1">
      <c r="D754" s="1"/>
      <c r="E754" s="2"/>
    </row>
    <row r="755" spans="4:5" ht="15.75" customHeight="1">
      <c r="D755" s="1"/>
      <c r="E755" s="2"/>
    </row>
    <row r="756" spans="4:5" ht="15.75" customHeight="1">
      <c r="D756" s="1"/>
      <c r="E756" s="2"/>
    </row>
    <row r="757" spans="4:5" ht="15.75" customHeight="1">
      <c r="D757" s="1"/>
      <c r="E757" s="2"/>
    </row>
    <row r="758" spans="4:5" ht="15.75" customHeight="1">
      <c r="D758" s="1"/>
      <c r="E758" s="2"/>
    </row>
    <row r="759" spans="4:5" ht="15.75" customHeight="1">
      <c r="D759" s="1"/>
      <c r="E759" s="2"/>
    </row>
    <row r="760" spans="4:5" ht="15.75" customHeight="1">
      <c r="D760" s="1"/>
      <c r="E760" s="2"/>
    </row>
    <row r="761" spans="4:5" ht="15.75" customHeight="1">
      <c r="D761" s="1"/>
      <c r="E761" s="2"/>
    </row>
    <row r="762" spans="4:5" ht="15.75" customHeight="1">
      <c r="D762" s="1"/>
      <c r="E762" s="2"/>
    </row>
    <row r="763" spans="4:5" ht="15.75" customHeight="1">
      <c r="D763" s="1"/>
      <c r="E763" s="2"/>
    </row>
    <row r="764" spans="4:5" ht="15.75" customHeight="1">
      <c r="D764" s="1"/>
      <c r="E764" s="2"/>
    </row>
    <row r="765" spans="4:5" ht="15.75" customHeight="1">
      <c r="D765" s="1"/>
      <c r="E765" s="2"/>
    </row>
    <row r="766" spans="4:5" ht="15.75" customHeight="1">
      <c r="D766" s="1"/>
      <c r="E766" s="2"/>
    </row>
    <row r="767" spans="4:5" ht="15.75" customHeight="1">
      <c r="D767" s="1"/>
      <c r="E767" s="2"/>
    </row>
    <row r="768" spans="4:5" ht="15.75" customHeight="1">
      <c r="D768" s="1"/>
      <c r="E768" s="2"/>
    </row>
    <row r="769" spans="4:5" ht="15.75" customHeight="1">
      <c r="D769" s="1"/>
      <c r="E769" s="2"/>
    </row>
    <row r="770" spans="4:5" ht="15.75" customHeight="1">
      <c r="D770" s="1"/>
      <c r="E770" s="2"/>
    </row>
    <row r="771" spans="4:5" ht="15.75" customHeight="1">
      <c r="D771" s="1"/>
      <c r="E771" s="2"/>
    </row>
    <row r="772" spans="4:5" ht="15.75" customHeight="1">
      <c r="D772" s="1"/>
      <c r="E772" s="2"/>
    </row>
    <row r="773" spans="4:5" ht="15.75" customHeight="1">
      <c r="D773" s="1"/>
      <c r="E773" s="2"/>
    </row>
    <row r="774" spans="4:5" ht="15.75" customHeight="1">
      <c r="D774" s="1"/>
      <c r="E774" s="2"/>
    </row>
    <row r="775" spans="4:5" ht="15.75" customHeight="1">
      <c r="D775" s="1"/>
      <c r="E775" s="2"/>
    </row>
    <row r="776" spans="4:5" ht="15.75" customHeight="1">
      <c r="D776" s="1"/>
      <c r="E776" s="2"/>
    </row>
    <row r="777" spans="4:5" ht="15.75" customHeight="1">
      <c r="D777" s="1"/>
      <c r="E777" s="2"/>
    </row>
    <row r="778" spans="4:5" ht="15.75" customHeight="1">
      <c r="D778" s="1"/>
      <c r="E778" s="2"/>
    </row>
    <row r="779" spans="4:5" ht="15.75" customHeight="1">
      <c r="D779" s="1"/>
      <c r="E779" s="2"/>
    </row>
    <row r="780" spans="4:5" ht="15.75" customHeight="1">
      <c r="D780" s="1"/>
      <c r="E780" s="2"/>
    </row>
    <row r="781" spans="4:5" ht="15.75" customHeight="1">
      <c r="D781" s="1"/>
      <c r="E781" s="2"/>
    </row>
    <row r="782" spans="4:5" ht="15.75" customHeight="1">
      <c r="D782" s="1"/>
      <c r="E782" s="2"/>
    </row>
    <row r="783" spans="4:5" ht="15.75" customHeight="1">
      <c r="D783" s="1"/>
      <c r="E783" s="2"/>
    </row>
    <row r="784" spans="4:5" ht="15.75" customHeight="1">
      <c r="D784" s="1"/>
      <c r="E784" s="2"/>
    </row>
    <row r="785" spans="4:5" ht="15.75" customHeight="1">
      <c r="D785" s="1"/>
      <c r="E785" s="2"/>
    </row>
    <row r="786" spans="4:5" ht="15.75" customHeight="1">
      <c r="D786" s="1"/>
      <c r="E786" s="2"/>
    </row>
    <row r="787" spans="4:5" ht="15.75" customHeight="1">
      <c r="D787" s="1"/>
      <c r="E787" s="2"/>
    </row>
    <row r="788" spans="4:5" ht="15.75" customHeight="1">
      <c r="D788" s="1"/>
      <c r="E788" s="2"/>
    </row>
    <row r="789" spans="4:5" ht="15.75" customHeight="1">
      <c r="D789" s="1"/>
      <c r="E789" s="2"/>
    </row>
    <row r="790" spans="4:5" ht="15.75" customHeight="1">
      <c r="D790" s="1"/>
      <c r="E790" s="2"/>
    </row>
    <row r="791" spans="4:5" ht="15.75" customHeight="1">
      <c r="D791" s="1"/>
      <c r="E791" s="2"/>
    </row>
    <row r="792" spans="4:5" ht="15.75" customHeight="1">
      <c r="D792" s="1"/>
      <c r="E792" s="2"/>
    </row>
    <row r="793" spans="4:5" ht="15.75" customHeight="1">
      <c r="D793" s="1"/>
      <c r="E793" s="2"/>
    </row>
    <row r="794" spans="4:5" ht="15.75" customHeight="1">
      <c r="D794" s="1"/>
      <c r="E794" s="2"/>
    </row>
    <row r="795" spans="4:5" ht="15.75" customHeight="1">
      <c r="D795" s="1"/>
      <c r="E795" s="2"/>
    </row>
    <row r="796" spans="4:5" ht="15.75" customHeight="1">
      <c r="D796" s="1"/>
      <c r="E796" s="2"/>
    </row>
    <row r="797" spans="4:5" ht="15.75" customHeight="1">
      <c r="D797" s="1"/>
      <c r="E797" s="2"/>
    </row>
    <row r="798" spans="4:5" ht="15.75" customHeight="1">
      <c r="D798" s="1"/>
      <c r="E798" s="2"/>
    </row>
    <row r="799" spans="4:5" ht="15.75" customHeight="1">
      <c r="D799" s="1"/>
      <c r="E799" s="2"/>
    </row>
    <row r="800" spans="4:5" ht="15.75" customHeight="1">
      <c r="D800" s="1"/>
      <c r="E800" s="2"/>
    </row>
    <row r="801" spans="4:5" ht="15.75" customHeight="1">
      <c r="D801" s="1"/>
      <c r="E801" s="2"/>
    </row>
    <row r="802" spans="4:5" ht="15.75" customHeight="1">
      <c r="D802" s="1"/>
      <c r="E802" s="2"/>
    </row>
    <row r="803" spans="4:5" ht="15.75" customHeight="1">
      <c r="D803" s="1"/>
      <c r="E803" s="2"/>
    </row>
    <row r="804" spans="4:5" ht="15.75" customHeight="1">
      <c r="D804" s="1"/>
      <c r="E804" s="2"/>
    </row>
    <row r="805" spans="4:5" ht="15.75" customHeight="1">
      <c r="D805" s="1"/>
      <c r="E805" s="2"/>
    </row>
    <row r="806" spans="4:5" ht="15.75" customHeight="1">
      <c r="D806" s="1"/>
      <c r="E806" s="2"/>
    </row>
    <row r="807" spans="4:5" ht="15.75" customHeight="1">
      <c r="D807" s="1"/>
      <c r="E807" s="2"/>
    </row>
    <row r="808" spans="4:5" ht="15.75" customHeight="1">
      <c r="D808" s="1"/>
      <c r="E808" s="2"/>
    </row>
    <row r="809" spans="4:5" ht="15.75" customHeight="1">
      <c r="D809" s="1"/>
      <c r="E809" s="2"/>
    </row>
    <row r="810" spans="4:5" ht="15.75" customHeight="1">
      <c r="D810" s="1"/>
      <c r="E810" s="2"/>
    </row>
    <row r="811" spans="4:5" ht="15.75" customHeight="1">
      <c r="D811" s="1"/>
      <c r="E811" s="2"/>
    </row>
    <row r="812" spans="4:5" ht="15.75" customHeight="1">
      <c r="D812" s="1"/>
      <c r="E812" s="2"/>
    </row>
    <row r="813" spans="4:5" ht="15.75" customHeight="1">
      <c r="D813" s="1"/>
      <c r="E813" s="2"/>
    </row>
    <row r="814" spans="4:5" ht="15.75" customHeight="1">
      <c r="D814" s="1"/>
      <c r="E814" s="2"/>
    </row>
    <row r="815" spans="4:5" ht="15.75" customHeight="1">
      <c r="D815" s="1"/>
      <c r="E815" s="2"/>
    </row>
    <row r="816" spans="4:5" ht="15.75" customHeight="1">
      <c r="D816" s="1"/>
      <c r="E816" s="2"/>
    </row>
    <row r="817" spans="4:5" ht="15.75" customHeight="1">
      <c r="D817" s="1"/>
      <c r="E817" s="2"/>
    </row>
    <row r="818" spans="4:5" ht="15.75" customHeight="1">
      <c r="D818" s="1"/>
      <c r="E818" s="2"/>
    </row>
    <row r="819" spans="4:5" ht="15.75" customHeight="1">
      <c r="D819" s="1"/>
      <c r="E819" s="2"/>
    </row>
    <row r="820" spans="4:5" ht="15.75" customHeight="1">
      <c r="D820" s="1"/>
      <c r="E820" s="2"/>
    </row>
    <row r="821" spans="4:5" ht="15.75" customHeight="1">
      <c r="D821" s="1"/>
      <c r="E821" s="2"/>
    </row>
    <row r="822" spans="4:5" ht="15.75" customHeight="1">
      <c r="D822" s="1"/>
      <c r="E822" s="2"/>
    </row>
    <row r="823" spans="4:5" ht="15.75" customHeight="1">
      <c r="D823" s="1"/>
      <c r="E823" s="2"/>
    </row>
    <row r="824" spans="4:5" ht="15.75" customHeight="1">
      <c r="D824" s="1"/>
      <c r="E824" s="2"/>
    </row>
    <row r="825" spans="4:5" ht="15.75" customHeight="1">
      <c r="D825" s="1"/>
      <c r="E825" s="2"/>
    </row>
    <row r="826" spans="4:5" ht="15.75" customHeight="1">
      <c r="D826" s="1"/>
      <c r="E826" s="2"/>
    </row>
    <row r="827" spans="4:5" ht="15.75" customHeight="1">
      <c r="D827" s="1"/>
      <c r="E827" s="2"/>
    </row>
    <row r="828" spans="4:5" ht="15.75" customHeight="1">
      <c r="D828" s="1"/>
      <c r="E828" s="2"/>
    </row>
    <row r="829" spans="4:5" ht="15.75" customHeight="1">
      <c r="D829" s="1"/>
      <c r="E829" s="2"/>
    </row>
    <row r="830" spans="4:5" ht="15.75" customHeight="1">
      <c r="D830" s="1"/>
      <c r="E830" s="2"/>
    </row>
    <row r="831" spans="4:5" ht="15.75" customHeight="1">
      <c r="D831" s="1"/>
      <c r="E831" s="2"/>
    </row>
    <row r="832" spans="4:5" ht="15.75" customHeight="1">
      <c r="D832" s="1"/>
      <c r="E832" s="2"/>
    </row>
    <row r="833" spans="4:5" ht="15.75" customHeight="1">
      <c r="D833" s="1"/>
      <c r="E833" s="2"/>
    </row>
    <row r="834" spans="4:5" ht="15.75" customHeight="1">
      <c r="D834" s="1"/>
      <c r="E834" s="2"/>
    </row>
    <row r="835" spans="4:5" ht="15.75" customHeight="1">
      <c r="D835" s="1"/>
      <c r="E835" s="2"/>
    </row>
    <row r="836" spans="4:5" ht="15.75" customHeight="1">
      <c r="D836" s="1"/>
      <c r="E836" s="2"/>
    </row>
    <row r="837" spans="4:5" ht="15.75" customHeight="1">
      <c r="D837" s="1"/>
      <c r="E837" s="2"/>
    </row>
    <row r="838" spans="4:5" ht="15.75" customHeight="1">
      <c r="D838" s="1"/>
      <c r="E838" s="2"/>
    </row>
    <row r="839" spans="4:5" ht="15.75" customHeight="1">
      <c r="D839" s="1"/>
      <c r="E839" s="2"/>
    </row>
    <row r="840" spans="4:5" ht="15.75" customHeight="1">
      <c r="D840" s="1"/>
      <c r="E840" s="2"/>
    </row>
    <row r="841" spans="4:5" ht="15.75" customHeight="1">
      <c r="D841" s="1"/>
      <c r="E841" s="2"/>
    </row>
    <row r="842" spans="4:5" ht="15.75" customHeight="1">
      <c r="D842" s="1"/>
      <c r="E842" s="2"/>
    </row>
    <row r="843" spans="4:5" ht="15.75" customHeight="1">
      <c r="D843" s="1"/>
      <c r="E843" s="2"/>
    </row>
    <row r="844" spans="4:5" ht="15.75" customHeight="1">
      <c r="D844" s="1"/>
      <c r="E844" s="2"/>
    </row>
    <row r="845" spans="4:5" ht="15.75" customHeight="1">
      <c r="D845" s="1"/>
      <c r="E845" s="2"/>
    </row>
    <row r="846" spans="4:5" ht="15.75" customHeight="1">
      <c r="D846" s="1"/>
      <c r="E846" s="2"/>
    </row>
    <row r="847" spans="4:5" ht="15.75" customHeight="1">
      <c r="D847" s="1"/>
      <c r="E847" s="2"/>
    </row>
    <row r="848" spans="4:5" ht="15.75" customHeight="1">
      <c r="D848" s="1"/>
      <c r="E848" s="2"/>
    </row>
    <row r="849" spans="4:5" ht="15.75" customHeight="1">
      <c r="D849" s="1"/>
      <c r="E849" s="2"/>
    </row>
    <row r="850" spans="4:5" ht="15.75" customHeight="1">
      <c r="D850" s="1"/>
      <c r="E850" s="2"/>
    </row>
    <row r="851" spans="4:5" ht="15.75" customHeight="1">
      <c r="D851" s="1"/>
      <c r="E851" s="2"/>
    </row>
    <row r="852" spans="4:5" ht="15.75" customHeight="1">
      <c r="D852" s="1"/>
      <c r="E852" s="2"/>
    </row>
    <row r="853" spans="4:5" ht="15.75" customHeight="1">
      <c r="D853" s="1"/>
      <c r="E853" s="2"/>
    </row>
    <row r="854" spans="4:5" ht="15.75" customHeight="1">
      <c r="D854" s="1"/>
      <c r="E854" s="2"/>
    </row>
    <row r="855" spans="4:5" ht="15.75" customHeight="1">
      <c r="D855" s="1"/>
      <c r="E855" s="2"/>
    </row>
    <row r="856" spans="4:5" ht="15.75" customHeight="1">
      <c r="D856" s="1"/>
      <c r="E856" s="2"/>
    </row>
    <row r="857" spans="4:5" ht="15.75" customHeight="1">
      <c r="D857" s="1"/>
      <c r="E857" s="2"/>
    </row>
    <row r="858" spans="4:5" ht="15.75" customHeight="1">
      <c r="D858" s="1"/>
      <c r="E858" s="2"/>
    </row>
    <row r="859" spans="4:5" ht="15.75" customHeight="1">
      <c r="D859" s="1"/>
      <c r="E859" s="2"/>
    </row>
    <row r="860" spans="4:5" ht="15.75" customHeight="1">
      <c r="D860" s="1"/>
      <c r="E860" s="2"/>
    </row>
    <row r="861" spans="4:5" ht="15.75" customHeight="1">
      <c r="D861" s="1"/>
      <c r="E861" s="2"/>
    </row>
    <row r="862" spans="4:5" ht="15.75" customHeight="1">
      <c r="D862" s="1"/>
      <c r="E862" s="2"/>
    </row>
    <row r="863" spans="4:5" ht="15.75" customHeight="1">
      <c r="D863" s="1"/>
      <c r="E863" s="2"/>
    </row>
    <row r="864" spans="4:5" ht="15.75" customHeight="1">
      <c r="D864" s="1"/>
      <c r="E864" s="2"/>
    </row>
    <row r="865" spans="4:5" ht="15.75" customHeight="1">
      <c r="D865" s="1"/>
      <c r="E865" s="2"/>
    </row>
    <row r="866" spans="4:5" ht="15.75" customHeight="1">
      <c r="D866" s="1"/>
      <c r="E866" s="2"/>
    </row>
    <row r="867" spans="4:5" ht="15.75" customHeight="1">
      <c r="D867" s="1"/>
      <c r="E867" s="2"/>
    </row>
    <row r="868" spans="4:5" ht="15.75" customHeight="1">
      <c r="D868" s="1"/>
      <c r="E868" s="2"/>
    </row>
    <row r="869" spans="4:5" ht="15.75" customHeight="1">
      <c r="D869" s="1"/>
      <c r="E869" s="2"/>
    </row>
    <row r="870" spans="4:5" ht="15.75" customHeight="1">
      <c r="D870" s="1"/>
      <c r="E870" s="2"/>
    </row>
    <row r="871" spans="4:5" ht="15.75" customHeight="1">
      <c r="D871" s="1"/>
      <c r="E871" s="2"/>
    </row>
    <row r="872" spans="4:5" ht="15.75" customHeight="1">
      <c r="D872" s="1"/>
      <c r="E872" s="2"/>
    </row>
    <row r="873" spans="4:5" ht="15.75" customHeight="1">
      <c r="D873" s="1"/>
      <c r="E873" s="2"/>
    </row>
    <row r="874" spans="4:5" ht="15.75" customHeight="1">
      <c r="D874" s="1"/>
      <c r="E874" s="2"/>
    </row>
    <row r="875" spans="4:5" ht="15.75" customHeight="1">
      <c r="D875" s="1"/>
      <c r="E875" s="2"/>
    </row>
    <row r="876" spans="4:5" ht="15.75" customHeight="1">
      <c r="D876" s="1"/>
      <c r="E876" s="2"/>
    </row>
    <row r="877" spans="4:5" ht="15.75" customHeight="1">
      <c r="D877" s="1"/>
      <c r="E877" s="2"/>
    </row>
    <row r="878" spans="4:5" ht="15.75" customHeight="1">
      <c r="D878" s="1"/>
      <c r="E878" s="2"/>
    </row>
    <row r="879" spans="4:5" ht="15.75" customHeight="1">
      <c r="D879" s="1"/>
      <c r="E879" s="2"/>
    </row>
    <row r="880" spans="4:5" ht="15.75" customHeight="1">
      <c r="D880" s="1"/>
      <c r="E880" s="2"/>
    </row>
    <row r="881" spans="4:5" ht="15.75" customHeight="1">
      <c r="D881" s="1"/>
      <c r="E881" s="2"/>
    </row>
    <row r="882" spans="4:5" ht="15.75" customHeight="1">
      <c r="D882" s="1"/>
      <c r="E882" s="2"/>
    </row>
    <row r="883" spans="4:5" ht="15.75" customHeight="1">
      <c r="D883" s="1"/>
      <c r="E883" s="2"/>
    </row>
    <row r="884" spans="4:5" ht="15.75" customHeight="1">
      <c r="D884" s="1"/>
      <c r="E884" s="2"/>
    </row>
    <row r="885" spans="4:5" ht="15.75" customHeight="1">
      <c r="D885" s="1"/>
      <c r="E885" s="2"/>
    </row>
    <row r="886" spans="4:5" ht="15.75" customHeight="1">
      <c r="D886" s="1"/>
      <c r="E886" s="2"/>
    </row>
    <row r="887" spans="4:5" ht="15.75" customHeight="1">
      <c r="D887" s="1"/>
      <c r="E887" s="2"/>
    </row>
    <row r="888" spans="4:5" ht="15.75" customHeight="1">
      <c r="D888" s="1"/>
      <c r="E888" s="2"/>
    </row>
    <row r="889" spans="4:5" ht="15.75" customHeight="1">
      <c r="D889" s="1"/>
      <c r="E889" s="2"/>
    </row>
    <row r="890" spans="4:5" ht="15.75" customHeight="1">
      <c r="D890" s="1"/>
      <c r="E890" s="2"/>
    </row>
    <row r="891" spans="4:5" ht="15.75" customHeight="1">
      <c r="D891" s="1"/>
      <c r="E891" s="2"/>
    </row>
    <row r="892" spans="4:5" ht="15.75" customHeight="1">
      <c r="D892" s="1"/>
      <c r="E892" s="2"/>
    </row>
    <row r="893" spans="4:5" ht="15.75" customHeight="1">
      <c r="D893" s="1"/>
      <c r="E893" s="2"/>
    </row>
    <row r="894" spans="4:5" ht="15.75" customHeight="1">
      <c r="D894" s="1"/>
      <c r="E894" s="2"/>
    </row>
    <row r="895" spans="4:5" ht="15.75" customHeight="1">
      <c r="D895" s="1"/>
      <c r="E895" s="2"/>
    </row>
    <row r="896" spans="4:5" ht="15.75" customHeight="1">
      <c r="D896" s="1"/>
      <c r="E896" s="2"/>
    </row>
    <row r="897" spans="4:5" ht="15.75" customHeight="1">
      <c r="D897" s="1"/>
      <c r="E897" s="2"/>
    </row>
    <row r="898" spans="4:5" ht="15.75" customHeight="1">
      <c r="D898" s="1"/>
      <c r="E898" s="2"/>
    </row>
    <row r="899" spans="4:5" ht="15.75" customHeight="1">
      <c r="D899" s="1"/>
      <c r="E899" s="2"/>
    </row>
    <row r="900" spans="4:5" ht="15.75" customHeight="1">
      <c r="D900" s="1"/>
      <c r="E900" s="2"/>
    </row>
    <row r="901" spans="4:5" ht="15.75" customHeight="1">
      <c r="D901" s="1"/>
      <c r="E901" s="2"/>
    </row>
    <row r="902" spans="4:5" ht="15.75" customHeight="1">
      <c r="D902" s="1"/>
      <c r="E902" s="2"/>
    </row>
    <row r="903" spans="4:5" ht="15.75" customHeight="1">
      <c r="D903" s="1"/>
      <c r="E903" s="2"/>
    </row>
    <row r="904" spans="4:5" ht="15.75" customHeight="1">
      <c r="D904" s="1"/>
      <c r="E904" s="2"/>
    </row>
    <row r="905" spans="4:5" ht="15.75" customHeight="1">
      <c r="D905" s="1"/>
      <c r="E905" s="2"/>
    </row>
    <row r="906" spans="4:5" ht="15.75" customHeight="1">
      <c r="D906" s="1"/>
      <c r="E906" s="2"/>
    </row>
    <row r="907" spans="4:5" ht="15.75" customHeight="1">
      <c r="D907" s="1"/>
      <c r="E907" s="2"/>
    </row>
    <row r="908" spans="4:5" ht="15.75" customHeight="1">
      <c r="D908" s="1"/>
      <c r="E908" s="2"/>
    </row>
    <row r="909" spans="4:5" ht="15.75" customHeight="1">
      <c r="D909" s="1"/>
      <c r="E909" s="2"/>
    </row>
    <row r="910" spans="4:5" ht="15.75" customHeight="1">
      <c r="D910" s="1"/>
      <c r="E910" s="2"/>
    </row>
    <row r="911" spans="4:5" ht="15.75" customHeight="1">
      <c r="D911" s="1"/>
      <c r="E911" s="2"/>
    </row>
    <row r="912" spans="4:5" ht="15.75" customHeight="1">
      <c r="D912" s="1"/>
      <c r="E912" s="2"/>
    </row>
    <row r="913" spans="4:5" ht="15.75" customHeight="1">
      <c r="D913" s="1"/>
      <c r="E913" s="2"/>
    </row>
    <row r="914" spans="4:5" ht="15.75" customHeight="1">
      <c r="D914" s="1"/>
      <c r="E914" s="2"/>
    </row>
    <row r="915" spans="4:5" ht="15.75" customHeight="1">
      <c r="D915" s="1"/>
      <c r="E915" s="2"/>
    </row>
    <row r="916" spans="4:5" ht="15.75" customHeight="1">
      <c r="D916" s="1"/>
      <c r="E916" s="2"/>
    </row>
    <row r="917" spans="4:5" ht="15.75" customHeight="1">
      <c r="D917" s="1"/>
      <c r="E917" s="2"/>
    </row>
    <row r="918" spans="4:5" ht="15.75" customHeight="1">
      <c r="D918" s="1"/>
      <c r="E918" s="2"/>
    </row>
    <row r="919" spans="4:5" ht="15.75" customHeight="1">
      <c r="D919" s="1"/>
      <c r="E919" s="2"/>
    </row>
    <row r="920" spans="4:5" ht="15.75" customHeight="1">
      <c r="D920" s="1"/>
      <c r="E920" s="2"/>
    </row>
    <row r="921" spans="4:5" ht="15.75" customHeight="1">
      <c r="D921" s="1"/>
      <c r="E921" s="2"/>
    </row>
    <row r="922" spans="4:5" ht="15.75" customHeight="1">
      <c r="D922" s="1"/>
      <c r="E922" s="2"/>
    </row>
    <row r="923" spans="4:5" ht="15.75" customHeight="1">
      <c r="D923" s="1"/>
      <c r="E923" s="2"/>
    </row>
    <row r="924" spans="4:5" ht="15.75" customHeight="1">
      <c r="D924" s="1"/>
      <c r="E924" s="2"/>
    </row>
    <row r="925" spans="4:5" ht="15.75" customHeight="1">
      <c r="D925" s="1"/>
      <c r="E925" s="2"/>
    </row>
    <row r="926" spans="4:5" ht="15.75" customHeight="1">
      <c r="D926" s="1"/>
      <c r="E926" s="2"/>
    </row>
    <row r="927" spans="4:5" ht="15.75" customHeight="1">
      <c r="D927" s="1"/>
      <c r="E927" s="2"/>
    </row>
    <row r="928" spans="4:5" ht="15.75" customHeight="1">
      <c r="D928" s="1"/>
      <c r="E928" s="2"/>
    </row>
    <row r="929" spans="4:5" ht="15.75" customHeight="1">
      <c r="D929" s="1"/>
      <c r="E929" s="2"/>
    </row>
    <row r="930" spans="4:5" ht="15.75" customHeight="1">
      <c r="D930" s="1"/>
      <c r="E930" s="2"/>
    </row>
    <row r="931" spans="4:5" ht="15.75" customHeight="1">
      <c r="D931" s="1"/>
      <c r="E931" s="2"/>
    </row>
    <row r="932" spans="4:5" ht="15.75" customHeight="1">
      <c r="D932" s="1"/>
      <c r="E932" s="2"/>
    </row>
    <row r="933" spans="4:5" ht="15.75" customHeight="1">
      <c r="D933" s="1"/>
      <c r="E933" s="2"/>
    </row>
    <row r="934" spans="4:5" ht="15.75" customHeight="1">
      <c r="D934" s="1"/>
      <c r="E934" s="2"/>
    </row>
    <row r="935" spans="4:5" ht="15.75" customHeight="1">
      <c r="D935" s="1"/>
      <c r="E935" s="2"/>
    </row>
    <row r="936" spans="4:5" ht="15.75" customHeight="1">
      <c r="D936" s="1"/>
      <c r="E936" s="2"/>
    </row>
    <row r="937" spans="4:5" ht="15.75" customHeight="1">
      <c r="D937" s="1"/>
      <c r="E937" s="2"/>
    </row>
    <row r="938" spans="4:5" ht="15.75" customHeight="1">
      <c r="D938" s="1"/>
      <c r="E938" s="2"/>
    </row>
    <row r="939" spans="4:5" ht="15.75" customHeight="1">
      <c r="D939" s="1"/>
      <c r="E939" s="2"/>
    </row>
    <row r="940" spans="4:5" ht="15.75" customHeight="1">
      <c r="D940" s="1"/>
      <c r="E940" s="2"/>
    </row>
    <row r="941" spans="4:5" ht="15.75" customHeight="1">
      <c r="D941" s="1"/>
      <c r="E941" s="2"/>
    </row>
    <row r="942" spans="4:5" ht="15.75" customHeight="1">
      <c r="D942" s="1"/>
      <c r="E942" s="2"/>
    </row>
    <row r="943" spans="4:5" ht="15.75" customHeight="1">
      <c r="D943" s="1"/>
      <c r="E943" s="2"/>
    </row>
    <row r="944" spans="4:5" ht="15.75" customHeight="1">
      <c r="D944" s="1"/>
      <c r="E944" s="2"/>
    </row>
    <row r="945" spans="4:5" ht="15.75" customHeight="1">
      <c r="D945" s="1"/>
      <c r="E945" s="2"/>
    </row>
    <row r="946" spans="4:5" ht="15.75" customHeight="1">
      <c r="D946" s="1"/>
      <c r="E946" s="2"/>
    </row>
    <row r="947" spans="4:5" ht="15.75" customHeight="1">
      <c r="D947" s="1"/>
      <c r="E947" s="2"/>
    </row>
    <row r="948" spans="4:5" ht="15.75" customHeight="1">
      <c r="D948" s="1"/>
      <c r="E948" s="2"/>
    </row>
    <row r="949" spans="4:5" ht="15.75" customHeight="1">
      <c r="D949" s="1"/>
      <c r="E949" s="2"/>
    </row>
    <row r="950" spans="4:5" ht="15.75" customHeight="1">
      <c r="D950" s="1"/>
      <c r="E950" s="2"/>
    </row>
    <row r="951" spans="4:5" ht="15.75" customHeight="1">
      <c r="D951" s="1"/>
      <c r="E951" s="2"/>
    </row>
    <row r="952" spans="4:5" ht="15.75" customHeight="1">
      <c r="D952" s="1"/>
      <c r="E952" s="2"/>
    </row>
    <row r="953" spans="4:5" ht="15.75" customHeight="1">
      <c r="D953" s="1"/>
      <c r="E953" s="2"/>
    </row>
    <row r="954" spans="4:5" ht="15.75" customHeight="1">
      <c r="D954" s="1"/>
      <c r="E954" s="2"/>
    </row>
    <row r="955" spans="4:5" ht="15.75" customHeight="1">
      <c r="D955" s="1"/>
      <c r="E955" s="2"/>
    </row>
    <row r="956" spans="4:5" ht="15.75" customHeight="1">
      <c r="D956" s="1"/>
      <c r="E956" s="2"/>
    </row>
    <row r="957" spans="4:5" ht="15.75" customHeight="1">
      <c r="D957" s="1"/>
      <c r="E957" s="2"/>
    </row>
    <row r="958" spans="4:5" ht="15.75" customHeight="1">
      <c r="D958" s="1"/>
      <c r="E958" s="2"/>
    </row>
    <row r="959" spans="4:5" ht="15.75" customHeight="1">
      <c r="D959" s="1"/>
      <c r="E959" s="2"/>
    </row>
    <row r="960" spans="4:5" ht="15.75" customHeight="1">
      <c r="D960" s="1"/>
      <c r="E960" s="2"/>
    </row>
    <row r="961" spans="4:5" ht="15.75" customHeight="1">
      <c r="D961" s="1"/>
      <c r="E961" s="2"/>
    </row>
    <row r="962" spans="4:5" ht="15.75" customHeight="1">
      <c r="D962" s="1"/>
      <c r="E962" s="2"/>
    </row>
    <row r="963" spans="4:5" ht="15.75" customHeight="1">
      <c r="D963" s="1"/>
      <c r="E963" s="2"/>
    </row>
    <row r="964" spans="4:5" ht="15.75" customHeight="1">
      <c r="D964" s="1"/>
      <c r="E964" s="2"/>
    </row>
    <row r="965" spans="4:5" ht="15.75" customHeight="1">
      <c r="D965" s="1"/>
      <c r="E965" s="2"/>
    </row>
    <row r="966" spans="4:5" ht="15.75" customHeight="1">
      <c r="D966" s="1"/>
      <c r="E966" s="2"/>
    </row>
    <row r="967" spans="4:5" ht="15.75" customHeight="1">
      <c r="D967" s="1"/>
      <c r="E967" s="2"/>
    </row>
    <row r="968" spans="4:5" ht="15.75" customHeight="1">
      <c r="D968" s="1"/>
      <c r="E968" s="2"/>
    </row>
    <row r="969" spans="4:5" ht="15.75" customHeight="1">
      <c r="D969" s="1"/>
      <c r="E969" s="2"/>
    </row>
    <row r="970" spans="4:5" ht="15.75" customHeight="1">
      <c r="D970" s="1"/>
      <c r="E970" s="2"/>
    </row>
    <row r="971" spans="4:5" ht="15.75" customHeight="1">
      <c r="D971" s="1"/>
      <c r="E971" s="2"/>
    </row>
    <row r="972" spans="4:5" ht="15.75" customHeight="1">
      <c r="D972" s="1"/>
      <c r="E972" s="2"/>
    </row>
    <row r="973" spans="4:5" ht="15.75" customHeight="1">
      <c r="D973" s="1"/>
      <c r="E973" s="2"/>
    </row>
    <row r="974" spans="4:5" ht="15.75" customHeight="1">
      <c r="D974" s="1"/>
      <c r="E974" s="2"/>
    </row>
    <row r="975" spans="4:5" ht="15.75" customHeight="1">
      <c r="D975" s="1"/>
      <c r="E975" s="2"/>
    </row>
    <row r="976" spans="4:5" ht="15.75" customHeight="1">
      <c r="D976" s="1"/>
      <c r="E976" s="2"/>
    </row>
    <row r="977" spans="4:5" ht="15.75" customHeight="1">
      <c r="D977" s="1"/>
      <c r="E977" s="2"/>
    </row>
    <row r="978" spans="4:5" ht="15.75" customHeight="1">
      <c r="D978" s="1"/>
      <c r="E978" s="2"/>
    </row>
    <row r="979" spans="4:5" ht="15.75" customHeight="1">
      <c r="D979" s="1"/>
      <c r="E979" s="2"/>
    </row>
    <row r="980" spans="4:5" ht="15.75" customHeight="1">
      <c r="D980" s="1"/>
      <c r="E980" s="2"/>
    </row>
    <row r="981" spans="4:5" ht="15.75" customHeight="1">
      <c r="D981" s="1"/>
      <c r="E981" s="2"/>
    </row>
    <row r="982" spans="4:5" ht="15.75" customHeight="1">
      <c r="D982" s="1"/>
      <c r="E982" s="2"/>
    </row>
    <row r="983" spans="4:5" ht="15.75" customHeight="1">
      <c r="D983" s="1"/>
      <c r="E983" s="2"/>
    </row>
    <row r="984" spans="4:5" ht="15.75" customHeight="1">
      <c r="D984" s="1"/>
      <c r="E984" s="2"/>
    </row>
    <row r="985" spans="4:5" ht="15.75" customHeight="1">
      <c r="D985" s="1"/>
      <c r="E985" s="2"/>
    </row>
    <row r="986" spans="4:5" ht="15.75" customHeight="1">
      <c r="D986" s="1"/>
      <c r="E986" s="2"/>
    </row>
    <row r="987" spans="4:5" ht="15.75" customHeight="1">
      <c r="D987" s="1"/>
      <c r="E987" s="2"/>
    </row>
    <row r="988" spans="4:5" ht="15.75" customHeight="1">
      <c r="D988" s="1"/>
      <c r="E988" s="2"/>
    </row>
    <row r="989" spans="4:5" ht="15.75" customHeight="1">
      <c r="D989" s="1"/>
      <c r="E989" s="2"/>
    </row>
    <row r="990" spans="4:5" ht="15.75" customHeight="1">
      <c r="D990" s="1"/>
      <c r="E990" s="2"/>
    </row>
    <row r="991" spans="4:5" ht="15.75" customHeight="1">
      <c r="D991" s="1"/>
      <c r="E991" s="2"/>
    </row>
    <row r="992" spans="4:5" ht="15.75" customHeight="1">
      <c r="D992" s="1"/>
      <c r="E992" s="2"/>
    </row>
    <row r="993" spans="4:5" ht="15.75" customHeight="1">
      <c r="D993" s="1"/>
      <c r="E993" s="2"/>
    </row>
    <row r="994" spans="4:5" ht="15.75" customHeight="1">
      <c r="D994" s="1"/>
      <c r="E994" s="2"/>
    </row>
    <row r="995" spans="4:5" ht="15.75" customHeight="1">
      <c r="D995" s="1"/>
      <c r="E995" s="2"/>
    </row>
  </sheetData>
  <mergeCells count="8">
    <mergeCell ref="C56:E56"/>
    <mergeCell ref="C69:E69"/>
    <mergeCell ref="C78:E78"/>
    <mergeCell ref="C16:E16"/>
    <mergeCell ref="C23:E23"/>
    <mergeCell ref="C30:E30"/>
    <mergeCell ref="C40:E40"/>
    <mergeCell ref="C48:E48"/>
  </mergeCells>
  <conditionalFormatting sqref="C17:E995">
    <cfRule type="expression" dxfId="3" priority="1">
      <formula>$B17=TRUE</formula>
    </cfRule>
  </conditionalFormatting>
  <dataValidations count="1">
    <dataValidation type="list" allowBlank="1" showErrorMessage="1" sqref="D2" xr:uid="{00000000-0002-0000-0300-000000000000}">
      <formula1>"Summer,Winter"</formula1>
    </dataValidation>
  </dataValidation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X998"/>
  <sheetViews>
    <sheetView workbookViewId="0">
      <selection activeCell="F24" sqref="F24"/>
    </sheetView>
  </sheetViews>
  <sheetFormatPr defaultColWidth="12.6328125" defaultRowHeight="15" customHeight="1"/>
  <cols>
    <col min="1" max="1" width="5.26953125" customWidth="1"/>
    <col min="2" max="2" width="9.7265625" customWidth="1"/>
    <col min="3" max="3" width="29.36328125" customWidth="1"/>
    <col min="4" max="4" width="18.6328125" customWidth="1"/>
    <col min="5" max="5" width="10.36328125" customWidth="1"/>
    <col min="6" max="6" width="16.6328125" customWidth="1"/>
    <col min="7" max="7" width="18.08984375" customWidth="1"/>
    <col min="8" max="8" width="13.26953125" customWidth="1"/>
    <col min="9" max="9" width="11.6328125" customWidth="1"/>
    <col min="10" max="10" width="7.26953125" customWidth="1"/>
    <col min="11" max="11" width="26.90625" customWidth="1"/>
    <col min="12" max="13" width="23.6328125" customWidth="1"/>
    <col min="14" max="14" width="26.26953125" customWidth="1"/>
    <col min="15" max="28" width="8.6328125" customWidth="1"/>
  </cols>
  <sheetData>
    <row r="1" spans="3:13" ht="14.5">
      <c r="G1" s="11"/>
      <c r="K1" s="36"/>
      <c r="L1" s="36"/>
      <c r="M1" s="36"/>
    </row>
    <row r="2" spans="3:13" ht="14.5">
      <c r="C2" s="10" t="s">
        <v>80</v>
      </c>
      <c r="D2" s="47">
        <v>10</v>
      </c>
      <c r="G2" s="11"/>
      <c r="K2" s="36"/>
      <c r="L2" s="36"/>
      <c r="M2" s="36"/>
    </row>
    <row r="3" spans="3:13" ht="14.5">
      <c r="C3" s="24" t="s">
        <v>81</v>
      </c>
      <c r="D3" s="47">
        <v>2025</v>
      </c>
      <c r="G3" s="11"/>
      <c r="K3" s="36"/>
      <c r="L3" s="36"/>
      <c r="M3" s="36"/>
    </row>
    <row r="4" spans="3:13" ht="14.5">
      <c r="C4" s="24" t="s">
        <v>82</v>
      </c>
      <c r="D4" s="47" t="str">
        <f>D3&amp;TEXT(D2, "00")</f>
        <v>202510</v>
      </c>
      <c r="G4" s="11"/>
    </row>
    <row r="5" spans="3:13" ht="14.5">
      <c r="C5" s="10" t="s">
        <v>83</v>
      </c>
      <c r="D5" s="48">
        <v>984.73</v>
      </c>
      <c r="G5" s="11"/>
      <c r="K5" s="24" t="s">
        <v>84</v>
      </c>
    </row>
    <row r="6" spans="3:13" ht="14.5">
      <c r="G6" s="11"/>
      <c r="K6" s="49" t="s">
        <v>38</v>
      </c>
      <c r="L6" s="33">
        <v>4</v>
      </c>
      <c r="M6" s="34">
        <v>353.71</v>
      </c>
    </row>
    <row r="7" spans="3:13" ht="14.5">
      <c r="G7" s="11"/>
      <c r="K7" s="49" t="s">
        <v>40</v>
      </c>
      <c r="L7" s="33">
        <v>15</v>
      </c>
      <c r="M7" s="34">
        <v>175</v>
      </c>
    </row>
    <row r="8" spans="3:13" ht="14.5">
      <c r="G8" s="11"/>
      <c r="K8" s="49" t="s">
        <v>19</v>
      </c>
      <c r="L8" s="50">
        <v>15</v>
      </c>
      <c r="M8" s="51">
        <v>120</v>
      </c>
    </row>
    <row r="9" spans="3:13" ht="14.5">
      <c r="G9" s="11"/>
      <c r="K9" s="49" t="s">
        <v>23</v>
      </c>
      <c r="L9" s="50">
        <v>15</v>
      </c>
      <c r="M9" s="51">
        <v>181.13</v>
      </c>
    </row>
    <row r="10" spans="3:13" ht="14.5">
      <c r="G10" s="11"/>
      <c r="K10" s="49" t="s">
        <v>43</v>
      </c>
      <c r="L10" s="33">
        <v>15</v>
      </c>
      <c r="M10" s="34">
        <v>82.37</v>
      </c>
    </row>
    <row r="11" spans="3:13" ht="14.5">
      <c r="G11" s="11"/>
      <c r="K11" s="49" t="s">
        <v>41</v>
      </c>
      <c r="L11" s="33">
        <v>18</v>
      </c>
      <c r="M11" s="34">
        <v>102.03</v>
      </c>
    </row>
    <row r="12" spans="3:13" ht="14.5">
      <c r="G12" s="11"/>
      <c r="K12" s="49" t="s">
        <v>76</v>
      </c>
      <c r="L12" s="33">
        <v>21</v>
      </c>
      <c r="M12" s="34">
        <v>595.67999999999995</v>
      </c>
    </row>
    <row r="13" spans="3:13" ht="14.5">
      <c r="G13" s="11"/>
      <c r="K13" s="49" t="s">
        <v>42</v>
      </c>
      <c r="L13" s="33">
        <v>27</v>
      </c>
      <c r="M13" s="34">
        <v>74.95</v>
      </c>
    </row>
    <row r="14" spans="3:13" ht="14.5">
      <c r="G14" s="11"/>
      <c r="K14" s="52" t="s">
        <v>85</v>
      </c>
      <c r="L14" s="53"/>
      <c r="M14" s="54"/>
    </row>
    <row r="15" spans="3:13" ht="14.5">
      <c r="G15" s="11"/>
      <c r="K15" s="55" t="s">
        <v>30</v>
      </c>
      <c r="L15" s="55">
        <v>1</v>
      </c>
      <c r="M15" s="56">
        <v>146.54</v>
      </c>
    </row>
    <row r="16" spans="3:13" ht="14.5">
      <c r="G16" s="11"/>
      <c r="K16" s="57" t="s">
        <v>35</v>
      </c>
      <c r="L16" s="57">
        <v>5</v>
      </c>
      <c r="M16" s="56">
        <v>10.64</v>
      </c>
    </row>
    <row r="17" spans="2:19" ht="14.5">
      <c r="G17" s="11"/>
      <c r="K17" s="58" t="s">
        <v>36</v>
      </c>
      <c r="L17" s="59">
        <v>16</v>
      </c>
      <c r="M17" s="60">
        <v>18</v>
      </c>
    </row>
    <row r="18" spans="2:19" ht="14.5">
      <c r="G18" s="11"/>
      <c r="K18" s="55" t="s">
        <v>31</v>
      </c>
      <c r="L18" s="55">
        <v>18</v>
      </c>
      <c r="M18" s="61">
        <v>33.159999999999997</v>
      </c>
    </row>
    <row r="19" spans="2:19" ht="14.5">
      <c r="G19" s="11"/>
      <c r="K19" s="55" t="s">
        <v>75</v>
      </c>
      <c r="L19" s="57">
        <v>15</v>
      </c>
      <c r="M19" s="61">
        <v>95.95</v>
      </c>
    </row>
    <row r="20" spans="2:19" ht="14.5">
      <c r="G20" s="11"/>
      <c r="K20" s="36"/>
      <c r="L20" s="36"/>
      <c r="M20" s="36"/>
    </row>
    <row r="21" spans="2:19" ht="14.5">
      <c r="G21" s="11"/>
      <c r="K21" s="36"/>
      <c r="L21" s="36"/>
      <c r="M21" s="36"/>
    </row>
    <row r="22" spans="2:19" ht="14.5">
      <c r="G22" s="11"/>
      <c r="K22" s="36"/>
      <c r="L22" s="36"/>
      <c r="M22" s="36"/>
    </row>
    <row r="23" spans="2:19" ht="15.75" customHeight="1">
      <c r="B23" s="24" t="s">
        <v>86</v>
      </c>
      <c r="C23" s="62" t="s">
        <v>4</v>
      </c>
      <c r="D23" s="62" t="s">
        <v>5</v>
      </c>
      <c r="E23" s="62" t="s">
        <v>6</v>
      </c>
      <c r="F23" s="62" t="s">
        <v>7</v>
      </c>
      <c r="G23" s="63" t="s">
        <v>8</v>
      </c>
      <c r="H23" s="62" t="s">
        <v>87</v>
      </c>
      <c r="J23" s="64"/>
      <c r="K23" s="108" t="s">
        <v>88</v>
      </c>
      <c r="L23" s="109"/>
      <c r="M23" s="109"/>
    </row>
    <row r="24" spans="2:19" ht="15.75" customHeight="1">
      <c r="B24" s="10" t="b">
        <v>1</v>
      </c>
      <c r="C24" s="10" t="s">
        <v>30</v>
      </c>
      <c r="D24" s="10">
        <v>1</v>
      </c>
      <c r="E24" s="65">
        <v>146.54</v>
      </c>
      <c r="F24" s="25">
        <f t="shared" ref="F24:F64" ca="1" si="0">IF($B24=TRUE, 0, IF(ISERROR(MATCH(C24, INDIRECT("'"&amp;$D$4&amp;"'!$B$8:$B$12"), 0)), -1*E24,E24))</f>
        <v>0</v>
      </c>
      <c r="G24" s="11">
        <f t="shared" ref="G24:G64" si="1">DATE(2025, $D$2, $D24)</f>
        <v>45931</v>
      </c>
      <c r="H24" s="66">
        <f ca="1">$D$5+F24</f>
        <v>984.73</v>
      </c>
      <c r="K24" s="67" t="s">
        <v>89</v>
      </c>
      <c r="L24" s="67" t="s">
        <v>90</v>
      </c>
      <c r="M24" s="67" t="s">
        <v>91</v>
      </c>
      <c r="N24" s="65"/>
      <c r="O24" s="68"/>
      <c r="P24" s="69"/>
    </row>
    <row r="25" spans="2:19" ht="15.75" customHeight="1">
      <c r="B25" s="10" t="b">
        <v>1</v>
      </c>
      <c r="C25" s="10" t="s">
        <v>38</v>
      </c>
      <c r="D25" s="24">
        <v>1</v>
      </c>
      <c r="E25" s="25">
        <v>353.71</v>
      </c>
      <c r="F25" s="25">
        <f t="shared" ca="1" si="0"/>
        <v>0</v>
      </c>
      <c r="G25" s="11">
        <f t="shared" si="1"/>
        <v>45931</v>
      </c>
      <c r="H25" s="66">
        <f t="shared" ref="H25:H64" ca="1" si="2">H24+F25</f>
        <v>984.73</v>
      </c>
      <c r="K25" s="70" t="s">
        <v>15</v>
      </c>
      <c r="L25" s="71">
        <v>7700</v>
      </c>
      <c r="M25" s="72">
        <v>0.21240000000000001</v>
      </c>
      <c r="N25" s="73"/>
      <c r="O25" s="74"/>
    </row>
    <row r="26" spans="2:19" ht="15.75" customHeight="1">
      <c r="B26" s="10" t="b">
        <v>1</v>
      </c>
      <c r="C26" s="10" t="s">
        <v>45</v>
      </c>
      <c r="D26" s="24">
        <v>3</v>
      </c>
      <c r="E26" s="65">
        <v>230.63</v>
      </c>
      <c r="F26" s="25">
        <f t="shared" ca="1" si="0"/>
        <v>0</v>
      </c>
      <c r="G26" s="11">
        <f t="shared" si="1"/>
        <v>45933</v>
      </c>
      <c r="H26" s="66">
        <f t="shared" ca="1" si="2"/>
        <v>984.73</v>
      </c>
      <c r="J26" s="10" t="b">
        <v>0</v>
      </c>
      <c r="K26" s="75">
        <v>1000</v>
      </c>
      <c r="L26" s="76">
        <f t="shared" ref="L26:L30" si="3">L25-K26</f>
        <v>6700</v>
      </c>
      <c r="M26" s="36"/>
      <c r="N26" s="77"/>
    </row>
    <row r="27" spans="2:19" ht="15.75" customHeight="1">
      <c r="B27" s="10" t="b">
        <v>1</v>
      </c>
      <c r="C27" s="10" t="s">
        <v>16</v>
      </c>
      <c r="D27" s="24">
        <v>4</v>
      </c>
      <c r="E27" s="65">
        <v>0</v>
      </c>
      <c r="F27" s="25">
        <f t="shared" ca="1" si="0"/>
        <v>0</v>
      </c>
      <c r="G27" s="11">
        <f t="shared" si="1"/>
        <v>45934</v>
      </c>
      <c r="H27" s="66">
        <f t="shared" ca="1" si="2"/>
        <v>984.73</v>
      </c>
      <c r="J27" s="10" t="b">
        <v>0</v>
      </c>
      <c r="K27" s="75">
        <v>1000</v>
      </c>
      <c r="L27" s="76">
        <f t="shared" si="3"/>
        <v>5700</v>
      </c>
      <c r="M27" s="36"/>
      <c r="Q27" s="78"/>
      <c r="R27" s="79"/>
    </row>
    <row r="28" spans="2:19" ht="15.75" customHeight="1">
      <c r="B28" s="10" t="b">
        <v>1</v>
      </c>
      <c r="C28" s="24" t="s">
        <v>35</v>
      </c>
      <c r="D28" s="24">
        <v>1</v>
      </c>
      <c r="E28" s="65">
        <v>10.64</v>
      </c>
      <c r="F28" s="25">
        <f t="shared" ca="1" si="0"/>
        <v>0</v>
      </c>
      <c r="G28" s="11">
        <f t="shared" si="1"/>
        <v>45931</v>
      </c>
      <c r="H28" s="66">
        <f t="shared" ca="1" si="2"/>
        <v>984.73</v>
      </c>
      <c r="J28" s="10" t="b">
        <v>0</v>
      </c>
      <c r="K28" s="75">
        <v>1000</v>
      </c>
      <c r="L28" s="76">
        <f t="shared" si="3"/>
        <v>4700</v>
      </c>
      <c r="M28" s="36"/>
      <c r="N28" s="24"/>
      <c r="Q28" s="78"/>
      <c r="R28" s="79"/>
      <c r="S28" s="80"/>
    </row>
    <row r="29" spans="2:19" ht="15.75" customHeight="1">
      <c r="B29" s="10" t="b">
        <v>1</v>
      </c>
      <c r="C29" s="10" t="s">
        <v>50</v>
      </c>
      <c r="D29" s="10">
        <v>6</v>
      </c>
      <c r="E29" s="25">
        <v>32.869999999999997</v>
      </c>
      <c r="F29" s="25">
        <f t="shared" ca="1" si="0"/>
        <v>0</v>
      </c>
      <c r="G29" s="11">
        <f t="shared" si="1"/>
        <v>45936</v>
      </c>
      <c r="H29" s="66">
        <f t="shared" ca="1" si="2"/>
        <v>984.73</v>
      </c>
      <c r="J29" s="10" t="b">
        <v>0</v>
      </c>
      <c r="K29" s="75">
        <v>1000</v>
      </c>
      <c r="L29" s="76">
        <f t="shared" si="3"/>
        <v>3700</v>
      </c>
      <c r="M29" s="36"/>
      <c r="Q29" s="78"/>
      <c r="R29" s="79"/>
    </row>
    <row r="30" spans="2:19" ht="15.75" customHeight="1">
      <c r="B30" s="10" t="b">
        <v>1</v>
      </c>
      <c r="C30" s="10" t="s">
        <v>15</v>
      </c>
      <c r="D30" s="24">
        <v>9</v>
      </c>
      <c r="E30" s="65"/>
      <c r="F30" s="25">
        <f t="shared" ca="1" si="0"/>
        <v>0</v>
      </c>
      <c r="G30" s="11">
        <f t="shared" si="1"/>
        <v>45939</v>
      </c>
      <c r="H30" s="66">
        <f t="shared" ca="1" si="2"/>
        <v>984.73</v>
      </c>
      <c r="J30" s="10" t="b">
        <v>0</v>
      </c>
      <c r="K30" s="75">
        <v>1000</v>
      </c>
      <c r="L30" s="76">
        <f t="shared" si="3"/>
        <v>2700</v>
      </c>
      <c r="M30" s="36"/>
      <c r="Q30" s="65"/>
      <c r="R30" s="73"/>
    </row>
    <row r="31" spans="2:19" ht="15.75" customHeight="1">
      <c r="B31" s="10" t="b">
        <v>1</v>
      </c>
      <c r="C31" s="10" t="s">
        <v>58</v>
      </c>
      <c r="D31" s="10">
        <v>9</v>
      </c>
      <c r="E31" s="65">
        <v>14.99</v>
      </c>
      <c r="F31" s="25">
        <f t="shared" ca="1" si="0"/>
        <v>0</v>
      </c>
      <c r="G31" s="11">
        <f t="shared" si="1"/>
        <v>45939</v>
      </c>
      <c r="H31" s="66">
        <f t="shared" ca="1" si="2"/>
        <v>984.73</v>
      </c>
      <c r="J31" s="24"/>
      <c r="K31" s="70" t="s">
        <v>20</v>
      </c>
      <c r="L31" s="71">
        <v>6246.15</v>
      </c>
      <c r="M31" s="72">
        <v>0</v>
      </c>
      <c r="N31" s="69" t="s">
        <v>92</v>
      </c>
      <c r="Q31" s="78"/>
      <c r="R31" s="79"/>
    </row>
    <row r="32" spans="2:19" ht="15.75" customHeight="1">
      <c r="B32" s="10" t="b">
        <v>1</v>
      </c>
      <c r="C32" s="10" t="s">
        <v>33</v>
      </c>
      <c r="D32" s="10">
        <v>10</v>
      </c>
      <c r="E32" s="25">
        <v>80</v>
      </c>
      <c r="F32" s="25">
        <f t="shared" ca="1" si="0"/>
        <v>0</v>
      </c>
      <c r="G32" s="11">
        <f t="shared" si="1"/>
        <v>45940</v>
      </c>
      <c r="H32" s="66">
        <f t="shared" ca="1" si="2"/>
        <v>984.73</v>
      </c>
      <c r="J32" s="10" t="b">
        <v>0</v>
      </c>
      <c r="K32" s="81">
        <v>1000</v>
      </c>
      <c r="L32" s="76">
        <f t="shared" ref="L32:L38" si="4">L31-K32</f>
        <v>5246.15</v>
      </c>
      <c r="M32" s="36"/>
      <c r="Q32" s="65"/>
      <c r="R32" s="73"/>
    </row>
    <row r="33" spans="2:24" ht="15.75" customHeight="1">
      <c r="B33" s="10" t="b">
        <v>1</v>
      </c>
      <c r="C33" s="10" t="s">
        <v>45</v>
      </c>
      <c r="D33" s="24">
        <v>10</v>
      </c>
      <c r="E33" s="65">
        <v>267.64999999999998</v>
      </c>
      <c r="F33" s="25">
        <f t="shared" ca="1" si="0"/>
        <v>0</v>
      </c>
      <c r="G33" s="11">
        <f t="shared" si="1"/>
        <v>45940</v>
      </c>
      <c r="H33" s="66">
        <f t="shared" ca="1" si="2"/>
        <v>984.73</v>
      </c>
      <c r="J33" s="10" t="b">
        <v>0</v>
      </c>
      <c r="K33" s="81">
        <v>1000</v>
      </c>
      <c r="L33" s="76">
        <f t="shared" si="4"/>
        <v>4246.1499999999996</v>
      </c>
      <c r="M33" s="36"/>
      <c r="Q33" s="65"/>
      <c r="R33" s="73"/>
    </row>
    <row r="34" spans="2:24" ht="15.75" customHeight="1">
      <c r="B34" s="10" t="b">
        <v>1</v>
      </c>
      <c r="C34" s="10" t="s">
        <v>26</v>
      </c>
      <c r="D34" s="24">
        <v>11</v>
      </c>
      <c r="E34" s="25">
        <f>268.44</f>
        <v>268.44</v>
      </c>
      <c r="F34" s="25">
        <f t="shared" ca="1" si="0"/>
        <v>0</v>
      </c>
      <c r="G34" s="11">
        <f t="shared" si="1"/>
        <v>45941</v>
      </c>
      <c r="H34" s="66">
        <f t="shared" ca="1" si="2"/>
        <v>984.73</v>
      </c>
      <c r="J34" s="10" t="b">
        <v>0</v>
      </c>
      <c r="K34" s="81">
        <v>1000</v>
      </c>
      <c r="L34" s="76">
        <f t="shared" si="4"/>
        <v>3246.1499999999996</v>
      </c>
      <c r="M34" s="36"/>
      <c r="Q34" s="24"/>
      <c r="V34" s="65"/>
      <c r="W34" s="65"/>
      <c r="X34" s="74"/>
    </row>
    <row r="35" spans="2:24" ht="15.75" customHeight="1">
      <c r="B35" s="10" t="b">
        <v>1</v>
      </c>
      <c r="C35" s="10" t="s">
        <v>20</v>
      </c>
      <c r="D35" s="24">
        <v>13</v>
      </c>
      <c r="E35" s="65">
        <v>62</v>
      </c>
      <c r="F35" s="25">
        <f t="shared" ca="1" si="0"/>
        <v>0</v>
      </c>
      <c r="G35" s="11">
        <f t="shared" si="1"/>
        <v>45943</v>
      </c>
      <c r="H35" s="66">
        <f t="shared" ca="1" si="2"/>
        <v>984.73</v>
      </c>
      <c r="J35" s="10" t="b">
        <v>0</v>
      </c>
      <c r="K35" s="81">
        <v>1000</v>
      </c>
      <c r="L35" s="76">
        <f t="shared" si="4"/>
        <v>2246.1499999999996</v>
      </c>
      <c r="M35" s="36"/>
      <c r="Q35" s="24"/>
      <c r="X35" s="74"/>
    </row>
    <row r="36" spans="2:24" ht="15.75" customHeight="1">
      <c r="B36" s="10" t="b">
        <v>1</v>
      </c>
      <c r="C36" s="10" t="s">
        <v>51</v>
      </c>
      <c r="D36" s="24">
        <v>14</v>
      </c>
      <c r="E36" s="25">
        <v>105.29</v>
      </c>
      <c r="F36" s="25">
        <f t="shared" ca="1" si="0"/>
        <v>0</v>
      </c>
      <c r="G36" s="11">
        <f t="shared" si="1"/>
        <v>45944</v>
      </c>
      <c r="H36" s="66">
        <f t="shared" ca="1" si="2"/>
        <v>984.73</v>
      </c>
      <c r="J36" s="10" t="b">
        <v>0</v>
      </c>
      <c r="K36" s="81">
        <v>1000</v>
      </c>
      <c r="L36" s="76">
        <f t="shared" si="4"/>
        <v>1246.1499999999996</v>
      </c>
      <c r="M36" s="36"/>
      <c r="V36" s="65"/>
      <c r="W36" s="65"/>
      <c r="X36" s="74"/>
    </row>
    <row r="37" spans="2:24" ht="15.75" customHeight="1">
      <c r="B37" s="10" t="b">
        <v>1</v>
      </c>
      <c r="C37" s="10" t="s">
        <v>53</v>
      </c>
      <c r="D37" s="10">
        <v>14</v>
      </c>
      <c r="E37" s="25">
        <v>14.99</v>
      </c>
      <c r="F37" s="25">
        <f t="shared" ca="1" si="0"/>
        <v>0</v>
      </c>
      <c r="G37" s="11">
        <f t="shared" si="1"/>
        <v>45944</v>
      </c>
      <c r="H37" s="66">
        <f t="shared" ca="1" si="2"/>
        <v>984.73</v>
      </c>
      <c r="K37" s="81">
        <v>1000</v>
      </c>
      <c r="L37" s="76">
        <f t="shared" si="4"/>
        <v>246.14999999999964</v>
      </c>
      <c r="X37" s="74"/>
    </row>
    <row r="38" spans="2:24" ht="15.75" customHeight="1">
      <c r="B38" s="10" t="b">
        <v>1</v>
      </c>
      <c r="C38" s="10" t="s">
        <v>9</v>
      </c>
      <c r="D38" s="10">
        <v>15</v>
      </c>
      <c r="E38" s="65">
        <v>-3205.07</v>
      </c>
      <c r="F38" s="25">
        <f t="shared" ca="1" si="0"/>
        <v>0</v>
      </c>
      <c r="G38" s="11">
        <f t="shared" si="1"/>
        <v>45945</v>
      </c>
      <c r="H38" s="66">
        <f t="shared" ca="1" si="2"/>
        <v>984.73</v>
      </c>
      <c r="K38" s="81">
        <f>L37</f>
        <v>246.14999999999964</v>
      </c>
      <c r="L38" s="76">
        <f t="shared" si="4"/>
        <v>0</v>
      </c>
    </row>
    <row r="39" spans="2:24" ht="15.75" customHeight="1">
      <c r="B39" s="10" t="b">
        <v>1</v>
      </c>
      <c r="C39" s="10" t="s">
        <v>19</v>
      </c>
      <c r="D39" s="24">
        <v>15</v>
      </c>
      <c r="E39" s="25">
        <v>120</v>
      </c>
      <c r="F39" s="25">
        <f t="shared" ca="1" si="0"/>
        <v>0</v>
      </c>
      <c r="G39" s="11">
        <f t="shared" si="1"/>
        <v>45945</v>
      </c>
      <c r="H39" s="66">
        <f t="shared" ca="1" si="2"/>
        <v>984.73</v>
      </c>
      <c r="K39" s="82" t="s">
        <v>19</v>
      </c>
      <c r="L39" s="71">
        <v>11685.1</v>
      </c>
      <c r="M39" s="72">
        <v>0</v>
      </c>
      <c r="N39" s="69" t="s">
        <v>93</v>
      </c>
    </row>
    <row r="40" spans="2:24" ht="15.75" customHeight="1">
      <c r="B40" s="10" t="b">
        <v>1</v>
      </c>
      <c r="C40" s="10" t="s">
        <v>23</v>
      </c>
      <c r="D40" s="24">
        <v>15</v>
      </c>
      <c r="E40" s="25">
        <v>181.13</v>
      </c>
      <c r="F40" s="25">
        <f t="shared" ca="1" si="0"/>
        <v>0</v>
      </c>
      <c r="G40" s="11">
        <f t="shared" si="1"/>
        <v>45945</v>
      </c>
      <c r="H40" s="66">
        <f t="shared" ca="1" si="2"/>
        <v>984.73</v>
      </c>
      <c r="J40" s="10" t="b">
        <v>0</v>
      </c>
      <c r="K40" s="75">
        <v>1000</v>
      </c>
      <c r="L40" s="76">
        <f t="shared" ref="L40:L45" si="5">L39-K40</f>
        <v>10685.1</v>
      </c>
    </row>
    <row r="41" spans="2:24" ht="15.75" customHeight="1">
      <c r="B41" s="10" t="b">
        <v>1</v>
      </c>
      <c r="C41" s="24" t="s">
        <v>40</v>
      </c>
      <c r="D41" s="24">
        <v>15</v>
      </c>
      <c r="E41" s="65">
        <v>175</v>
      </c>
      <c r="F41" s="25">
        <f t="shared" ca="1" si="0"/>
        <v>0</v>
      </c>
      <c r="G41" s="11">
        <f t="shared" si="1"/>
        <v>45945</v>
      </c>
      <c r="H41" s="66">
        <f t="shared" ca="1" si="2"/>
        <v>984.73</v>
      </c>
      <c r="J41" s="10" t="b">
        <v>0</v>
      </c>
      <c r="K41" s="75">
        <v>1000</v>
      </c>
      <c r="L41" s="76">
        <f t="shared" si="5"/>
        <v>9685.1</v>
      </c>
    </row>
    <row r="42" spans="2:24" ht="15.75" customHeight="1">
      <c r="B42" s="10" t="b">
        <v>1</v>
      </c>
      <c r="C42" s="20" t="s">
        <v>41</v>
      </c>
      <c r="D42" s="83">
        <v>15</v>
      </c>
      <c r="E42" s="84">
        <v>102.03</v>
      </c>
      <c r="F42" s="25">
        <f t="shared" ca="1" si="0"/>
        <v>0</v>
      </c>
      <c r="G42" s="11">
        <f t="shared" si="1"/>
        <v>45945</v>
      </c>
      <c r="H42" s="66">
        <f t="shared" ca="1" si="2"/>
        <v>984.73</v>
      </c>
      <c r="J42" s="10" t="b">
        <v>0</v>
      </c>
      <c r="K42" s="75">
        <v>1000</v>
      </c>
      <c r="L42" s="76">
        <f t="shared" si="5"/>
        <v>8685.1</v>
      </c>
      <c r="M42" s="85"/>
    </row>
    <row r="43" spans="2:24" ht="15.75" customHeight="1">
      <c r="B43" s="10" t="b">
        <v>0</v>
      </c>
      <c r="C43" s="10" t="s">
        <v>31</v>
      </c>
      <c r="D43" s="24">
        <v>15</v>
      </c>
      <c r="E43" s="25">
        <v>33.159999999999997</v>
      </c>
      <c r="F43" s="25">
        <f t="shared" ca="1" si="0"/>
        <v>-33.159999999999997</v>
      </c>
      <c r="G43" s="11">
        <f t="shared" si="1"/>
        <v>45945</v>
      </c>
      <c r="H43" s="66">
        <f t="shared" ca="1" si="2"/>
        <v>951.57</v>
      </c>
      <c r="J43" s="10" t="b">
        <v>0</v>
      </c>
      <c r="K43" s="75">
        <v>1000</v>
      </c>
      <c r="L43" s="76">
        <f t="shared" si="5"/>
        <v>7685.1</v>
      </c>
    </row>
    <row r="44" spans="2:24" ht="14.5">
      <c r="B44" s="10" t="b">
        <v>1</v>
      </c>
      <c r="C44" s="10" t="s">
        <v>75</v>
      </c>
      <c r="D44" s="24">
        <v>1</v>
      </c>
      <c r="E44" s="25">
        <v>380</v>
      </c>
      <c r="F44" s="25">
        <f t="shared" ca="1" si="0"/>
        <v>0</v>
      </c>
      <c r="G44" s="11">
        <f t="shared" si="1"/>
        <v>45931</v>
      </c>
      <c r="H44" s="66">
        <f t="shared" ca="1" si="2"/>
        <v>951.57</v>
      </c>
      <c r="J44" s="10" t="b">
        <v>0</v>
      </c>
      <c r="K44" s="75">
        <v>1000</v>
      </c>
      <c r="L44" s="76">
        <f t="shared" si="5"/>
        <v>6685.1</v>
      </c>
      <c r="M44" s="36"/>
    </row>
    <row r="45" spans="2:24" ht="15.75" customHeight="1">
      <c r="B45" s="10" t="b">
        <v>1</v>
      </c>
      <c r="C45" s="10" t="s">
        <v>42</v>
      </c>
      <c r="D45" s="24">
        <v>15</v>
      </c>
      <c r="E45" s="25">
        <v>74.95</v>
      </c>
      <c r="F45" s="25">
        <f t="shared" ca="1" si="0"/>
        <v>0</v>
      </c>
      <c r="G45" s="11">
        <f t="shared" si="1"/>
        <v>45945</v>
      </c>
      <c r="H45" s="66">
        <f t="shared" ca="1" si="2"/>
        <v>951.57</v>
      </c>
      <c r="J45" s="10" t="b">
        <v>0</v>
      </c>
      <c r="K45" s="75">
        <v>1000</v>
      </c>
      <c r="L45" s="76">
        <f t="shared" si="5"/>
        <v>5685.1</v>
      </c>
      <c r="M45" s="85"/>
    </row>
    <row r="46" spans="2:24" ht="15.75" customHeight="1">
      <c r="B46" s="10" t="b">
        <v>1</v>
      </c>
      <c r="C46" s="86" t="s">
        <v>94</v>
      </c>
      <c r="D46" s="24">
        <v>15</v>
      </c>
      <c r="E46" s="65">
        <v>500</v>
      </c>
      <c r="F46" s="25">
        <f t="shared" ca="1" si="0"/>
        <v>0</v>
      </c>
      <c r="G46" s="11">
        <f t="shared" si="1"/>
        <v>45945</v>
      </c>
      <c r="H46" s="66">
        <f t="shared" ca="1" si="2"/>
        <v>951.57</v>
      </c>
      <c r="K46" s="82" t="s">
        <v>23</v>
      </c>
      <c r="L46" s="71">
        <v>3877.83</v>
      </c>
      <c r="M46" s="72">
        <v>0.1888</v>
      </c>
    </row>
    <row r="47" spans="2:24" ht="15.75" customHeight="1">
      <c r="B47" s="10" t="b">
        <v>1</v>
      </c>
      <c r="C47" s="20" t="s">
        <v>36</v>
      </c>
      <c r="D47" s="83">
        <v>15</v>
      </c>
      <c r="E47" s="66">
        <v>18</v>
      </c>
      <c r="F47" s="25">
        <f t="shared" ca="1" si="0"/>
        <v>0</v>
      </c>
      <c r="G47" s="11">
        <f t="shared" si="1"/>
        <v>45945</v>
      </c>
      <c r="H47" s="66">
        <f t="shared" ca="1" si="2"/>
        <v>951.57</v>
      </c>
      <c r="J47" s="10" t="b">
        <v>0</v>
      </c>
      <c r="K47" s="75">
        <v>1000</v>
      </c>
      <c r="L47" s="76">
        <f t="shared" ref="L47:L50" si="6">L46-K47</f>
        <v>2877.83</v>
      </c>
      <c r="M47" s="36"/>
    </row>
    <row r="48" spans="2:24" ht="15.75" customHeight="1">
      <c r="B48" s="10" t="b">
        <v>1</v>
      </c>
      <c r="C48" s="10" t="s">
        <v>43</v>
      </c>
      <c r="D48" s="24">
        <v>15</v>
      </c>
      <c r="E48" s="65">
        <v>82.37</v>
      </c>
      <c r="F48" s="25">
        <f t="shared" ca="1" si="0"/>
        <v>0</v>
      </c>
      <c r="G48" s="11">
        <f t="shared" si="1"/>
        <v>45945</v>
      </c>
      <c r="H48" s="66">
        <f t="shared" ca="1" si="2"/>
        <v>951.57</v>
      </c>
      <c r="J48" s="10" t="b">
        <v>0</v>
      </c>
      <c r="K48" s="75">
        <v>1000</v>
      </c>
      <c r="L48" s="76">
        <f t="shared" si="6"/>
        <v>1877.83</v>
      </c>
      <c r="M48" s="85"/>
    </row>
    <row r="49" spans="2:14" ht="15.75" customHeight="1">
      <c r="B49" s="10" t="b">
        <v>1</v>
      </c>
      <c r="C49" s="10" t="s">
        <v>76</v>
      </c>
      <c r="D49" s="24">
        <v>15</v>
      </c>
      <c r="E49" s="65">
        <v>595</v>
      </c>
      <c r="F49" s="25">
        <f t="shared" ca="1" si="0"/>
        <v>0</v>
      </c>
      <c r="G49" s="11">
        <f t="shared" si="1"/>
        <v>45945</v>
      </c>
      <c r="H49" s="66">
        <f t="shared" ca="1" si="2"/>
        <v>951.57</v>
      </c>
      <c r="J49" s="10" t="b">
        <v>0</v>
      </c>
      <c r="K49" s="75">
        <v>1000</v>
      </c>
      <c r="L49" s="76">
        <f t="shared" si="6"/>
        <v>877.82999999999993</v>
      </c>
    </row>
    <row r="50" spans="2:14" ht="15.75" customHeight="1">
      <c r="B50" s="10" t="b">
        <v>0</v>
      </c>
      <c r="C50" s="10" t="s">
        <v>46</v>
      </c>
      <c r="D50" s="24">
        <v>16</v>
      </c>
      <c r="E50" s="25">
        <v>30</v>
      </c>
      <c r="F50" s="25">
        <f t="shared" ca="1" si="0"/>
        <v>-30</v>
      </c>
      <c r="G50" s="11">
        <f t="shared" si="1"/>
        <v>45946</v>
      </c>
      <c r="H50" s="66">
        <f t="shared" ca="1" si="2"/>
        <v>921.57</v>
      </c>
      <c r="J50" s="10" t="b">
        <v>0</v>
      </c>
      <c r="K50" s="75">
        <v>877.83</v>
      </c>
      <c r="L50" s="76">
        <f t="shared" si="6"/>
        <v>0</v>
      </c>
      <c r="M50" s="36"/>
    </row>
    <row r="51" spans="2:14" ht="15.75" customHeight="1">
      <c r="B51" s="10" t="b">
        <v>0</v>
      </c>
      <c r="C51" s="10" t="s">
        <v>47</v>
      </c>
      <c r="D51" s="10">
        <v>16</v>
      </c>
      <c r="E51" s="65">
        <v>50</v>
      </c>
      <c r="F51" s="25">
        <f t="shared" ca="1" si="0"/>
        <v>-50</v>
      </c>
      <c r="G51" s="11">
        <f t="shared" si="1"/>
        <v>45946</v>
      </c>
      <c r="H51" s="66">
        <f t="shared" ca="1" si="2"/>
        <v>871.57</v>
      </c>
      <c r="K51" s="54"/>
      <c r="L51" s="54"/>
      <c r="M51" s="87"/>
      <c r="N51" s="38"/>
    </row>
    <row r="52" spans="2:14" ht="15.75" customHeight="1">
      <c r="B52" s="10" t="b">
        <v>0</v>
      </c>
      <c r="C52" s="10" t="s">
        <v>59</v>
      </c>
      <c r="D52" s="10">
        <v>16</v>
      </c>
      <c r="E52" s="25">
        <v>20.2</v>
      </c>
      <c r="F52" s="25">
        <f t="shared" ca="1" si="0"/>
        <v>-20.2</v>
      </c>
      <c r="G52" s="11">
        <f t="shared" si="1"/>
        <v>45946</v>
      </c>
      <c r="H52" s="66">
        <f t="shared" ca="1" si="2"/>
        <v>851.37</v>
      </c>
      <c r="K52" s="76"/>
      <c r="L52" s="85"/>
      <c r="M52" s="85"/>
    </row>
    <row r="53" spans="2:14" ht="15.75" customHeight="1">
      <c r="B53" s="10" t="b">
        <v>1</v>
      </c>
      <c r="C53" s="20" t="s">
        <v>56</v>
      </c>
      <c r="D53" s="20">
        <v>17</v>
      </c>
      <c r="E53" s="66">
        <v>14.14</v>
      </c>
      <c r="F53" s="25">
        <f t="shared" ca="1" si="0"/>
        <v>0</v>
      </c>
      <c r="G53" s="11">
        <f t="shared" si="1"/>
        <v>45947</v>
      </c>
      <c r="H53" s="66">
        <f t="shared" ca="1" si="2"/>
        <v>851.37</v>
      </c>
      <c r="K53" s="76"/>
      <c r="L53" s="85"/>
      <c r="M53" s="85"/>
    </row>
    <row r="54" spans="2:14" ht="15.75" customHeight="1">
      <c r="B54" s="10" t="b">
        <v>0</v>
      </c>
      <c r="C54" s="10" t="s">
        <v>45</v>
      </c>
      <c r="D54" s="24">
        <v>17</v>
      </c>
      <c r="E54" s="65">
        <v>250</v>
      </c>
      <c r="F54" s="25">
        <f t="shared" ca="1" si="0"/>
        <v>-250</v>
      </c>
      <c r="G54" s="11">
        <f t="shared" si="1"/>
        <v>45947</v>
      </c>
      <c r="H54" s="66">
        <f t="shared" ca="1" si="2"/>
        <v>601.37</v>
      </c>
      <c r="K54" s="76"/>
      <c r="L54" s="85"/>
      <c r="M54" s="85"/>
    </row>
    <row r="55" spans="2:14" ht="15.75" customHeight="1">
      <c r="B55" s="10" t="b">
        <v>0</v>
      </c>
      <c r="C55" s="10" t="s">
        <v>57</v>
      </c>
      <c r="D55" s="10">
        <v>23</v>
      </c>
      <c r="E55" s="25">
        <v>19.3</v>
      </c>
      <c r="F55" s="25">
        <f t="shared" ca="1" si="0"/>
        <v>-19.3</v>
      </c>
      <c r="G55" s="11">
        <f t="shared" si="1"/>
        <v>45953</v>
      </c>
      <c r="H55" s="66">
        <f t="shared" ca="1" si="2"/>
        <v>582.07000000000005</v>
      </c>
      <c r="K55" s="76"/>
      <c r="L55" s="85"/>
      <c r="M55" s="85"/>
    </row>
    <row r="56" spans="2:14" ht="15.75" customHeight="1">
      <c r="B56" s="10" t="b">
        <v>0</v>
      </c>
      <c r="C56" s="10" t="s">
        <v>33</v>
      </c>
      <c r="D56" s="10">
        <v>24</v>
      </c>
      <c r="E56" s="25">
        <v>80</v>
      </c>
      <c r="F56" s="25">
        <f t="shared" ca="1" si="0"/>
        <v>-80</v>
      </c>
      <c r="G56" s="11">
        <f t="shared" si="1"/>
        <v>45954</v>
      </c>
      <c r="H56" s="66">
        <f t="shared" ca="1" si="2"/>
        <v>502.07000000000005</v>
      </c>
      <c r="K56" s="76"/>
      <c r="L56" s="85"/>
      <c r="M56" s="85"/>
    </row>
    <row r="57" spans="2:14" ht="15.75" customHeight="1">
      <c r="B57" s="10" t="b">
        <v>0</v>
      </c>
      <c r="C57" s="20" t="s">
        <v>49</v>
      </c>
      <c r="D57" s="20">
        <v>24</v>
      </c>
      <c r="E57" s="66">
        <v>22.23</v>
      </c>
      <c r="F57" s="25">
        <f t="shared" ca="1" si="0"/>
        <v>-22.23</v>
      </c>
      <c r="G57" s="11">
        <f t="shared" si="1"/>
        <v>45954</v>
      </c>
      <c r="H57" s="66">
        <f t="shared" ca="1" si="2"/>
        <v>479.84000000000003</v>
      </c>
      <c r="K57" s="76"/>
      <c r="L57" s="85"/>
      <c r="M57" s="85"/>
    </row>
    <row r="58" spans="2:14" ht="15.75" customHeight="1">
      <c r="B58" s="10" t="b">
        <v>0</v>
      </c>
      <c r="C58" s="10" t="s">
        <v>45</v>
      </c>
      <c r="D58" s="24">
        <v>24</v>
      </c>
      <c r="E58" s="25">
        <v>250</v>
      </c>
      <c r="F58" s="25">
        <f t="shared" ca="1" si="0"/>
        <v>-250</v>
      </c>
      <c r="G58" s="11">
        <f t="shared" si="1"/>
        <v>45954</v>
      </c>
      <c r="H58" s="66">
        <f t="shared" ca="1" si="2"/>
        <v>229.84000000000003</v>
      </c>
      <c r="K58" s="76"/>
      <c r="L58" s="85"/>
      <c r="M58" s="85"/>
    </row>
    <row r="59" spans="2:14" ht="15.75" customHeight="1">
      <c r="B59" s="10" t="b">
        <v>0</v>
      </c>
      <c r="C59" s="10" t="s">
        <v>51</v>
      </c>
      <c r="D59" s="24">
        <v>28</v>
      </c>
      <c r="E59" s="25">
        <v>105.29</v>
      </c>
      <c r="F59" s="25">
        <f t="shared" ca="1" si="0"/>
        <v>-105.29</v>
      </c>
      <c r="G59" s="11">
        <f t="shared" si="1"/>
        <v>45958</v>
      </c>
      <c r="H59" s="66">
        <f t="shared" ca="1" si="2"/>
        <v>124.55000000000003</v>
      </c>
      <c r="J59" s="25"/>
      <c r="K59" s="85"/>
      <c r="L59" s="36"/>
      <c r="M59" s="36"/>
    </row>
    <row r="60" spans="2:14" ht="15.75" customHeight="1">
      <c r="B60" s="10" t="b">
        <v>0</v>
      </c>
      <c r="C60" s="10" t="s">
        <v>9</v>
      </c>
      <c r="D60" s="24">
        <v>31</v>
      </c>
      <c r="E60" s="84">
        <v>-3205.07</v>
      </c>
      <c r="F60" s="25">
        <f t="shared" ca="1" si="0"/>
        <v>3205.07</v>
      </c>
      <c r="G60" s="11">
        <f t="shared" si="1"/>
        <v>45961</v>
      </c>
      <c r="H60" s="66">
        <f t="shared" ca="1" si="2"/>
        <v>3329.6200000000003</v>
      </c>
      <c r="J60" s="25"/>
      <c r="K60" s="85"/>
      <c r="L60" s="36"/>
      <c r="M60" s="36"/>
    </row>
    <row r="61" spans="2:14" ht="15.75" customHeight="1">
      <c r="B61" s="10" t="b">
        <v>0</v>
      </c>
      <c r="C61" s="88" t="s">
        <v>95</v>
      </c>
      <c r="D61" s="83">
        <v>31</v>
      </c>
      <c r="E61" s="65">
        <v>795.49</v>
      </c>
      <c r="F61" s="25">
        <f t="shared" ca="1" si="0"/>
        <v>-795.49</v>
      </c>
      <c r="G61" s="11">
        <f t="shared" si="1"/>
        <v>45961</v>
      </c>
      <c r="H61" s="66">
        <f t="shared" ca="1" si="2"/>
        <v>2534.13</v>
      </c>
      <c r="J61" s="25"/>
      <c r="K61" s="85"/>
      <c r="L61" s="36"/>
      <c r="M61" s="36"/>
    </row>
    <row r="62" spans="2:14" ht="15.75" customHeight="1">
      <c r="B62" s="10" t="b">
        <v>0</v>
      </c>
      <c r="C62" s="86" t="s">
        <v>96</v>
      </c>
      <c r="D62" s="83">
        <v>31</v>
      </c>
      <c r="E62" s="84">
        <v>500</v>
      </c>
      <c r="F62" s="25">
        <f t="shared" ca="1" si="0"/>
        <v>-500</v>
      </c>
      <c r="G62" s="11">
        <f t="shared" si="1"/>
        <v>45961</v>
      </c>
      <c r="H62" s="66">
        <f t="shared" ca="1" si="2"/>
        <v>2034.13</v>
      </c>
      <c r="J62" s="25"/>
      <c r="K62" s="85"/>
      <c r="L62" s="36"/>
      <c r="M62" s="36"/>
    </row>
    <row r="63" spans="2:14" ht="15.75" customHeight="1">
      <c r="B63" s="10" t="b">
        <v>0</v>
      </c>
      <c r="C63" s="86" t="s">
        <v>97</v>
      </c>
      <c r="D63" s="24">
        <v>31</v>
      </c>
      <c r="E63" s="65">
        <v>300</v>
      </c>
      <c r="F63" s="25">
        <f t="shared" ca="1" si="0"/>
        <v>-300</v>
      </c>
      <c r="G63" s="11">
        <f t="shared" si="1"/>
        <v>45961</v>
      </c>
      <c r="H63" s="66">
        <f t="shared" ca="1" si="2"/>
        <v>1734.13</v>
      </c>
      <c r="J63" s="25"/>
      <c r="K63" s="85"/>
      <c r="L63" s="36"/>
      <c r="M63" s="36"/>
    </row>
    <row r="64" spans="2:14" ht="15.75" customHeight="1">
      <c r="B64" s="10" t="b">
        <v>0</v>
      </c>
      <c r="C64" s="86" t="s">
        <v>98</v>
      </c>
      <c r="D64" s="24">
        <v>31</v>
      </c>
      <c r="E64" s="65">
        <v>200</v>
      </c>
      <c r="F64" s="25">
        <f t="shared" ca="1" si="0"/>
        <v>-200</v>
      </c>
      <c r="G64" s="11">
        <f t="shared" si="1"/>
        <v>45961</v>
      </c>
      <c r="H64" s="66">
        <f t="shared" ca="1" si="2"/>
        <v>1534.13</v>
      </c>
      <c r="J64" s="25"/>
      <c r="K64" s="85"/>
      <c r="L64" s="36"/>
      <c r="M64" s="36"/>
    </row>
    <row r="65" spans="3:13" ht="15.75" customHeight="1">
      <c r="C65" s="20"/>
      <c r="D65" s="20"/>
      <c r="E65" s="20"/>
      <c r="F65" s="25"/>
      <c r="G65" s="11"/>
      <c r="H65" s="89"/>
      <c r="J65" s="25"/>
      <c r="K65" s="85"/>
      <c r="L65" s="36"/>
      <c r="M65" s="36"/>
    </row>
    <row r="66" spans="3:13" ht="15.75" customHeight="1">
      <c r="F66" s="25"/>
      <c r="G66" s="11"/>
      <c r="H66" s="89"/>
      <c r="K66" s="36"/>
      <c r="L66" s="36"/>
      <c r="M66" s="36"/>
    </row>
    <row r="67" spans="3:13" ht="15.75" customHeight="1">
      <c r="E67" s="24"/>
      <c r="F67" s="25"/>
      <c r="G67" s="11"/>
      <c r="H67" s="89"/>
      <c r="K67" s="36"/>
      <c r="L67" s="36"/>
      <c r="M67" s="36"/>
    </row>
    <row r="68" spans="3:13" ht="15.75" customHeight="1">
      <c r="F68" s="25"/>
      <c r="G68" s="11"/>
      <c r="H68" s="89"/>
      <c r="K68" s="36"/>
      <c r="L68" s="36"/>
      <c r="M68" s="36"/>
    </row>
    <row r="69" spans="3:13" ht="15.75" customHeight="1">
      <c r="F69" s="25"/>
      <c r="G69" s="11"/>
      <c r="H69" s="89"/>
      <c r="K69" s="36"/>
      <c r="L69" s="36"/>
      <c r="M69" s="36"/>
    </row>
    <row r="70" spans="3:13" ht="15.75" customHeight="1">
      <c r="G70" s="11"/>
      <c r="K70" s="36"/>
      <c r="L70" s="36"/>
      <c r="M70" s="36"/>
    </row>
    <row r="71" spans="3:13" ht="15.75" customHeight="1">
      <c r="G71" s="11"/>
      <c r="K71" s="36"/>
      <c r="L71" s="36"/>
      <c r="M71" s="36"/>
    </row>
    <row r="72" spans="3:13" ht="15.75" customHeight="1">
      <c r="G72" s="11"/>
      <c r="K72" s="36"/>
      <c r="L72" s="36"/>
      <c r="M72" s="36"/>
    </row>
    <row r="73" spans="3:13" ht="15.75" customHeight="1">
      <c r="G73" s="11"/>
      <c r="K73" s="36"/>
      <c r="L73" s="36"/>
      <c r="M73" s="36"/>
    </row>
    <row r="74" spans="3:13" ht="15.75" customHeight="1">
      <c r="G74" s="11"/>
      <c r="K74" s="36"/>
      <c r="L74" s="36"/>
      <c r="M74" s="36"/>
    </row>
    <row r="75" spans="3:13" ht="15.75" customHeight="1">
      <c r="G75" s="11"/>
      <c r="K75" s="36"/>
      <c r="L75" s="36"/>
      <c r="M75" s="36"/>
    </row>
    <row r="76" spans="3:13" ht="15.75" customHeight="1">
      <c r="G76" s="11"/>
      <c r="K76" s="36"/>
      <c r="L76" s="36"/>
      <c r="M76" s="36"/>
    </row>
    <row r="77" spans="3:13" ht="15.75" customHeight="1">
      <c r="G77" s="11"/>
      <c r="K77" s="36"/>
      <c r="L77" s="36"/>
      <c r="M77" s="36"/>
    </row>
    <row r="78" spans="3:13" ht="15.75" customHeight="1">
      <c r="G78" s="11"/>
      <c r="K78" s="36"/>
      <c r="L78" s="36"/>
      <c r="M78" s="36"/>
    </row>
    <row r="79" spans="3:13" ht="15.75" customHeight="1">
      <c r="G79" s="11"/>
      <c r="K79" s="36"/>
      <c r="L79" s="36"/>
      <c r="M79" s="36"/>
    </row>
    <row r="80" spans="3:13" ht="15.75" customHeight="1">
      <c r="G80" s="11"/>
      <c r="K80" s="36"/>
      <c r="L80" s="36"/>
      <c r="M80" s="36"/>
    </row>
    <row r="81" spans="7:13" ht="15.75" customHeight="1">
      <c r="G81" s="11"/>
      <c r="K81" s="36"/>
      <c r="L81" s="36"/>
      <c r="M81" s="36"/>
    </row>
    <row r="82" spans="7:13" ht="15.75" customHeight="1">
      <c r="G82" s="11"/>
      <c r="K82" s="36"/>
      <c r="L82" s="36"/>
      <c r="M82" s="36"/>
    </row>
    <row r="83" spans="7:13" ht="15.75" customHeight="1">
      <c r="G83" s="11"/>
      <c r="K83" s="36"/>
      <c r="L83" s="36"/>
      <c r="M83" s="36"/>
    </row>
    <row r="84" spans="7:13" ht="15.75" customHeight="1">
      <c r="G84" s="11"/>
      <c r="K84" s="36"/>
      <c r="L84" s="36"/>
      <c r="M84" s="36"/>
    </row>
    <row r="85" spans="7:13" ht="15.75" customHeight="1">
      <c r="G85" s="11"/>
      <c r="K85" s="36"/>
      <c r="L85" s="36"/>
      <c r="M85" s="36"/>
    </row>
    <row r="86" spans="7:13" ht="15.75" customHeight="1">
      <c r="G86" s="11"/>
      <c r="K86" s="36"/>
      <c r="L86" s="36"/>
      <c r="M86" s="36"/>
    </row>
    <row r="87" spans="7:13" ht="15.75" customHeight="1">
      <c r="G87" s="11"/>
      <c r="K87" s="36"/>
      <c r="L87" s="36"/>
      <c r="M87" s="36"/>
    </row>
    <row r="88" spans="7:13" ht="15.75" customHeight="1">
      <c r="G88" s="11"/>
      <c r="K88" s="36"/>
      <c r="L88" s="36"/>
      <c r="M88" s="36"/>
    </row>
    <row r="89" spans="7:13" ht="15.75" customHeight="1">
      <c r="G89" s="11"/>
      <c r="K89" s="36"/>
      <c r="L89" s="36"/>
      <c r="M89" s="36"/>
    </row>
    <row r="90" spans="7:13" ht="15.75" customHeight="1">
      <c r="G90" s="11"/>
      <c r="K90" s="36"/>
      <c r="L90" s="36"/>
      <c r="M90" s="36"/>
    </row>
    <row r="91" spans="7:13" ht="15.75" customHeight="1">
      <c r="G91" s="11"/>
      <c r="K91" s="36"/>
      <c r="L91" s="36"/>
      <c r="M91" s="36"/>
    </row>
    <row r="92" spans="7:13" ht="15.75" customHeight="1">
      <c r="G92" s="11"/>
      <c r="K92" s="36"/>
      <c r="L92" s="36"/>
      <c r="M92" s="36"/>
    </row>
    <row r="93" spans="7:13" ht="15.75" customHeight="1">
      <c r="G93" s="11"/>
      <c r="K93" s="36"/>
      <c r="L93" s="36"/>
      <c r="M93" s="36"/>
    </row>
    <row r="94" spans="7:13" ht="15.75" customHeight="1">
      <c r="G94" s="11"/>
      <c r="K94" s="36"/>
      <c r="L94" s="36"/>
      <c r="M94" s="36"/>
    </row>
    <row r="95" spans="7:13" ht="15.75" customHeight="1">
      <c r="G95" s="11"/>
      <c r="K95" s="36"/>
      <c r="L95" s="36"/>
      <c r="M95" s="36"/>
    </row>
    <row r="96" spans="7:13" ht="15.75" customHeight="1">
      <c r="G96" s="11"/>
      <c r="K96" s="36"/>
      <c r="L96" s="36"/>
      <c r="M96" s="36"/>
    </row>
    <row r="97" spans="7:13" ht="15.75" customHeight="1">
      <c r="G97" s="11"/>
      <c r="K97" s="36"/>
      <c r="L97" s="36"/>
      <c r="M97" s="36"/>
    </row>
    <row r="98" spans="7:13" ht="15.75" customHeight="1">
      <c r="G98" s="11"/>
      <c r="K98" s="36"/>
      <c r="L98" s="36"/>
      <c r="M98" s="36"/>
    </row>
    <row r="99" spans="7:13" ht="15.75" customHeight="1">
      <c r="G99" s="11"/>
      <c r="K99" s="36"/>
      <c r="L99" s="36"/>
      <c r="M99" s="36"/>
    </row>
    <row r="100" spans="7:13" ht="15.75" customHeight="1">
      <c r="G100" s="11"/>
      <c r="K100" s="36"/>
      <c r="L100" s="36"/>
      <c r="M100" s="36"/>
    </row>
    <row r="101" spans="7:13" ht="15.75" customHeight="1">
      <c r="G101" s="11"/>
      <c r="K101" s="36"/>
      <c r="L101" s="36"/>
      <c r="M101" s="36"/>
    </row>
    <row r="102" spans="7:13" ht="15.75" customHeight="1">
      <c r="G102" s="11"/>
      <c r="K102" s="36"/>
      <c r="L102" s="36"/>
      <c r="M102" s="36"/>
    </row>
    <row r="103" spans="7:13" ht="15.75" customHeight="1">
      <c r="G103" s="11"/>
      <c r="K103" s="36"/>
      <c r="L103" s="36"/>
      <c r="M103" s="36"/>
    </row>
    <row r="104" spans="7:13" ht="15.75" customHeight="1">
      <c r="G104" s="11"/>
      <c r="K104" s="36"/>
      <c r="L104" s="36"/>
      <c r="M104" s="36"/>
    </row>
    <row r="105" spans="7:13" ht="15.75" customHeight="1">
      <c r="G105" s="11"/>
      <c r="K105" s="36"/>
      <c r="L105" s="36"/>
      <c r="M105" s="36"/>
    </row>
    <row r="106" spans="7:13" ht="15.75" customHeight="1">
      <c r="G106" s="11"/>
      <c r="K106" s="36"/>
      <c r="L106" s="36"/>
      <c r="M106" s="36"/>
    </row>
    <row r="107" spans="7:13" ht="15.75" customHeight="1">
      <c r="G107" s="11"/>
      <c r="K107" s="36"/>
      <c r="L107" s="36"/>
      <c r="M107" s="36"/>
    </row>
    <row r="108" spans="7:13" ht="15.75" customHeight="1">
      <c r="G108" s="11"/>
      <c r="K108" s="36"/>
      <c r="L108" s="36"/>
      <c r="M108" s="36"/>
    </row>
    <row r="109" spans="7:13" ht="15.75" customHeight="1">
      <c r="G109" s="11"/>
      <c r="K109" s="36"/>
      <c r="L109" s="36"/>
      <c r="M109" s="36"/>
    </row>
    <row r="110" spans="7:13" ht="15.75" customHeight="1">
      <c r="G110" s="11"/>
      <c r="K110" s="36"/>
      <c r="L110" s="36"/>
      <c r="M110" s="36"/>
    </row>
    <row r="111" spans="7:13" ht="15.75" customHeight="1">
      <c r="G111" s="11"/>
      <c r="K111" s="36"/>
      <c r="L111" s="36"/>
      <c r="M111" s="36"/>
    </row>
    <row r="112" spans="7:13" ht="15.75" customHeight="1">
      <c r="G112" s="11"/>
      <c r="K112" s="36"/>
      <c r="L112" s="36"/>
      <c r="M112" s="36"/>
    </row>
    <row r="113" spans="7:13" ht="15.75" customHeight="1">
      <c r="G113" s="11"/>
      <c r="K113" s="36"/>
      <c r="L113" s="36"/>
      <c r="M113" s="36"/>
    </row>
    <row r="114" spans="7:13" ht="15.75" customHeight="1">
      <c r="G114" s="11"/>
      <c r="K114" s="36"/>
      <c r="L114" s="36"/>
      <c r="M114" s="36"/>
    </row>
    <row r="115" spans="7:13" ht="15.75" customHeight="1">
      <c r="G115" s="11"/>
      <c r="K115" s="36"/>
      <c r="L115" s="36"/>
      <c r="M115" s="36"/>
    </row>
    <row r="116" spans="7:13" ht="15.75" customHeight="1">
      <c r="G116" s="11"/>
      <c r="K116" s="36"/>
      <c r="L116" s="36"/>
      <c r="M116" s="36"/>
    </row>
    <row r="117" spans="7:13" ht="15.75" customHeight="1">
      <c r="G117" s="11"/>
      <c r="K117" s="36"/>
      <c r="L117" s="36"/>
      <c r="M117" s="36"/>
    </row>
    <row r="118" spans="7:13" ht="15.75" customHeight="1">
      <c r="G118" s="11"/>
      <c r="K118" s="36"/>
      <c r="L118" s="36"/>
      <c r="M118" s="36"/>
    </row>
    <row r="119" spans="7:13" ht="15.75" customHeight="1">
      <c r="G119" s="11"/>
      <c r="K119" s="36"/>
      <c r="L119" s="36"/>
      <c r="M119" s="36"/>
    </row>
    <row r="120" spans="7:13" ht="15.75" customHeight="1">
      <c r="G120" s="11"/>
      <c r="K120" s="36"/>
      <c r="L120" s="36"/>
      <c r="M120" s="36"/>
    </row>
    <row r="121" spans="7:13" ht="15.75" customHeight="1">
      <c r="G121" s="11"/>
      <c r="K121" s="36"/>
      <c r="L121" s="36"/>
      <c r="M121" s="36"/>
    </row>
    <row r="122" spans="7:13" ht="15.75" customHeight="1">
      <c r="G122" s="11"/>
      <c r="K122" s="36"/>
      <c r="L122" s="36"/>
      <c r="M122" s="36"/>
    </row>
    <row r="123" spans="7:13" ht="15.75" customHeight="1">
      <c r="G123" s="11"/>
      <c r="K123" s="36"/>
      <c r="L123" s="36"/>
      <c r="M123" s="36"/>
    </row>
    <row r="124" spans="7:13" ht="15.75" customHeight="1">
      <c r="G124" s="11"/>
      <c r="K124" s="36"/>
      <c r="L124" s="36"/>
      <c r="M124" s="36"/>
    </row>
    <row r="125" spans="7:13" ht="15.75" customHeight="1">
      <c r="G125" s="11"/>
      <c r="K125" s="36"/>
      <c r="L125" s="36"/>
      <c r="M125" s="36"/>
    </row>
    <row r="126" spans="7:13" ht="15.75" customHeight="1">
      <c r="G126" s="11"/>
      <c r="K126" s="36"/>
      <c r="L126" s="36"/>
      <c r="M126" s="36"/>
    </row>
    <row r="127" spans="7:13" ht="15.75" customHeight="1">
      <c r="G127" s="11"/>
      <c r="K127" s="36"/>
      <c r="L127" s="36"/>
      <c r="M127" s="36"/>
    </row>
    <row r="128" spans="7:13" ht="15.75" customHeight="1">
      <c r="G128" s="11"/>
      <c r="K128" s="36"/>
      <c r="L128" s="36"/>
      <c r="M128" s="36"/>
    </row>
    <row r="129" spans="7:13" ht="15.75" customHeight="1">
      <c r="G129" s="11"/>
      <c r="K129" s="36"/>
      <c r="L129" s="36"/>
      <c r="M129" s="36"/>
    </row>
    <row r="130" spans="7:13" ht="15.75" customHeight="1">
      <c r="G130" s="11"/>
      <c r="K130" s="36"/>
      <c r="L130" s="36"/>
      <c r="M130" s="36"/>
    </row>
    <row r="131" spans="7:13" ht="15.75" customHeight="1">
      <c r="G131" s="11"/>
      <c r="K131" s="36"/>
      <c r="L131" s="36"/>
      <c r="M131" s="36"/>
    </row>
    <row r="132" spans="7:13" ht="15.75" customHeight="1">
      <c r="G132" s="11"/>
      <c r="K132" s="36"/>
      <c r="L132" s="36"/>
      <c r="M132" s="36"/>
    </row>
    <row r="133" spans="7:13" ht="15.75" customHeight="1">
      <c r="G133" s="11"/>
      <c r="K133" s="36"/>
      <c r="L133" s="36"/>
      <c r="M133" s="36"/>
    </row>
    <row r="134" spans="7:13" ht="15.75" customHeight="1">
      <c r="G134" s="11"/>
      <c r="K134" s="36"/>
      <c r="L134" s="36"/>
      <c r="M134" s="36"/>
    </row>
    <row r="135" spans="7:13" ht="15.75" customHeight="1">
      <c r="G135" s="11"/>
      <c r="K135" s="36"/>
      <c r="L135" s="36"/>
      <c r="M135" s="36"/>
    </row>
    <row r="136" spans="7:13" ht="15.75" customHeight="1">
      <c r="G136" s="11"/>
      <c r="K136" s="36"/>
      <c r="L136" s="36"/>
      <c r="M136" s="36"/>
    </row>
    <row r="137" spans="7:13" ht="15.75" customHeight="1">
      <c r="G137" s="11"/>
      <c r="K137" s="36"/>
      <c r="L137" s="36"/>
      <c r="M137" s="36"/>
    </row>
    <row r="138" spans="7:13" ht="15.75" customHeight="1">
      <c r="G138" s="11"/>
      <c r="K138" s="36"/>
      <c r="L138" s="36"/>
      <c r="M138" s="36"/>
    </row>
    <row r="139" spans="7:13" ht="15.75" customHeight="1">
      <c r="G139" s="11"/>
      <c r="K139" s="36"/>
      <c r="L139" s="36"/>
      <c r="M139" s="36"/>
    </row>
    <row r="140" spans="7:13" ht="15.75" customHeight="1">
      <c r="G140" s="11"/>
      <c r="K140" s="36"/>
      <c r="L140" s="36"/>
      <c r="M140" s="36"/>
    </row>
    <row r="141" spans="7:13" ht="15.75" customHeight="1">
      <c r="G141" s="11"/>
      <c r="K141" s="36"/>
      <c r="L141" s="36"/>
      <c r="M141" s="36"/>
    </row>
    <row r="142" spans="7:13" ht="15.75" customHeight="1">
      <c r="G142" s="11"/>
      <c r="K142" s="36"/>
      <c r="L142" s="36"/>
      <c r="M142" s="36"/>
    </row>
    <row r="143" spans="7:13" ht="15.75" customHeight="1">
      <c r="G143" s="11"/>
      <c r="K143" s="36"/>
      <c r="L143" s="36"/>
      <c r="M143" s="36"/>
    </row>
    <row r="144" spans="7:13" ht="15.75" customHeight="1">
      <c r="G144" s="11"/>
      <c r="K144" s="36"/>
      <c r="L144" s="36"/>
      <c r="M144" s="36"/>
    </row>
    <row r="145" spans="7:13" ht="15.75" customHeight="1">
      <c r="G145" s="11"/>
      <c r="K145" s="36"/>
      <c r="L145" s="36"/>
      <c r="M145" s="36"/>
    </row>
    <row r="146" spans="7:13" ht="15.75" customHeight="1">
      <c r="G146" s="11"/>
      <c r="K146" s="36"/>
      <c r="L146" s="36"/>
      <c r="M146" s="36"/>
    </row>
    <row r="147" spans="7:13" ht="15.75" customHeight="1">
      <c r="G147" s="11"/>
      <c r="K147" s="36"/>
      <c r="L147" s="36"/>
      <c r="M147" s="36"/>
    </row>
    <row r="148" spans="7:13" ht="15.75" customHeight="1">
      <c r="G148" s="11"/>
      <c r="K148" s="36"/>
      <c r="L148" s="36"/>
      <c r="M148" s="36"/>
    </row>
    <row r="149" spans="7:13" ht="15.75" customHeight="1">
      <c r="G149" s="11"/>
      <c r="K149" s="36"/>
      <c r="L149" s="36"/>
      <c r="M149" s="36"/>
    </row>
    <row r="150" spans="7:13" ht="15.75" customHeight="1">
      <c r="G150" s="11"/>
      <c r="K150" s="36"/>
      <c r="L150" s="36"/>
      <c r="M150" s="36"/>
    </row>
    <row r="151" spans="7:13" ht="15.75" customHeight="1">
      <c r="G151" s="11"/>
      <c r="K151" s="36"/>
      <c r="L151" s="36"/>
      <c r="M151" s="36"/>
    </row>
    <row r="152" spans="7:13" ht="15.75" customHeight="1">
      <c r="G152" s="11"/>
      <c r="K152" s="36"/>
      <c r="L152" s="36"/>
      <c r="M152" s="36"/>
    </row>
    <row r="153" spans="7:13" ht="15.75" customHeight="1">
      <c r="G153" s="11"/>
      <c r="K153" s="36"/>
      <c r="L153" s="36"/>
      <c r="M153" s="36"/>
    </row>
    <row r="154" spans="7:13" ht="15.75" customHeight="1">
      <c r="G154" s="11"/>
      <c r="K154" s="36"/>
      <c r="L154" s="36"/>
      <c r="M154" s="36"/>
    </row>
    <row r="155" spans="7:13" ht="15.75" customHeight="1">
      <c r="G155" s="11"/>
      <c r="K155" s="36"/>
      <c r="L155" s="36"/>
      <c r="M155" s="36"/>
    </row>
    <row r="156" spans="7:13" ht="15.75" customHeight="1">
      <c r="G156" s="11"/>
      <c r="K156" s="36"/>
      <c r="L156" s="36"/>
      <c r="M156" s="36"/>
    </row>
    <row r="157" spans="7:13" ht="15.75" customHeight="1">
      <c r="G157" s="11"/>
      <c r="K157" s="36"/>
      <c r="L157" s="36"/>
      <c r="M157" s="36"/>
    </row>
    <row r="158" spans="7:13" ht="15.75" customHeight="1">
      <c r="G158" s="11"/>
      <c r="K158" s="36"/>
      <c r="L158" s="36"/>
      <c r="M158" s="36"/>
    </row>
    <row r="159" spans="7:13" ht="15.75" customHeight="1">
      <c r="G159" s="11"/>
      <c r="K159" s="36"/>
      <c r="L159" s="36"/>
      <c r="M159" s="36"/>
    </row>
    <row r="160" spans="7:13" ht="15.75" customHeight="1">
      <c r="G160" s="11"/>
      <c r="K160" s="36"/>
      <c r="L160" s="36"/>
      <c r="M160" s="36"/>
    </row>
    <row r="161" spans="7:13" ht="15.75" customHeight="1">
      <c r="G161" s="11"/>
      <c r="K161" s="36"/>
      <c r="L161" s="36"/>
      <c r="M161" s="36"/>
    </row>
    <row r="162" spans="7:13" ht="15.75" customHeight="1">
      <c r="G162" s="11"/>
      <c r="K162" s="36"/>
      <c r="L162" s="36"/>
      <c r="M162" s="36"/>
    </row>
    <row r="163" spans="7:13" ht="15.75" customHeight="1">
      <c r="G163" s="11"/>
      <c r="K163" s="36"/>
      <c r="L163" s="36"/>
      <c r="M163" s="36"/>
    </row>
    <row r="164" spans="7:13" ht="15.75" customHeight="1">
      <c r="G164" s="11"/>
      <c r="K164" s="36"/>
      <c r="L164" s="36"/>
      <c r="M164" s="36"/>
    </row>
    <row r="165" spans="7:13" ht="15.75" customHeight="1">
      <c r="G165" s="11"/>
      <c r="K165" s="36"/>
      <c r="L165" s="36"/>
      <c r="M165" s="36"/>
    </row>
    <row r="166" spans="7:13" ht="15.75" customHeight="1">
      <c r="G166" s="11"/>
      <c r="K166" s="36"/>
      <c r="L166" s="36"/>
      <c r="M166" s="36"/>
    </row>
    <row r="167" spans="7:13" ht="15.75" customHeight="1">
      <c r="G167" s="11"/>
      <c r="K167" s="36"/>
      <c r="L167" s="36"/>
      <c r="M167" s="36"/>
    </row>
    <row r="168" spans="7:13" ht="15.75" customHeight="1">
      <c r="G168" s="11"/>
      <c r="K168" s="36"/>
      <c r="L168" s="36"/>
      <c r="M168" s="36"/>
    </row>
    <row r="169" spans="7:13" ht="15.75" customHeight="1">
      <c r="G169" s="11"/>
      <c r="K169" s="36"/>
      <c r="L169" s="36"/>
      <c r="M169" s="36"/>
    </row>
    <row r="170" spans="7:13" ht="15.75" customHeight="1">
      <c r="G170" s="11"/>
      <c r="K170" s="36"/>
      <c r="L170" s="36"/>
      <c r="M170" s="36"/>
    </row>
    <row r="171" spans="7:13" ht="15.75" customHeight="1">
      <c r="G171" s="11"/>
      <c r="K171" s="36"/>
      <c r="L171" s="36"/>
      <c r="M171" s="36"/>
    </row>
    <row r="172" spans="7:13" ht="15.75" customHeight="1">
      <c r="G172" s="11"/>
      <c r="K172" s="36"/>
      <c r="L172" s="36"/>
      <c r="M172" s="36"/>
    </row>
    <row r="173" spans="7:13" ht="15.75" customHeight="1">
      <c r="G173" s="11"/>
      <c r="K173" s="36"/>
      <c r="L173" s="36"/>
      <c r="M173" s="36"/>
    </row>
    <row r="174" spans="7:13" ht="15.75" customHeight="1">
      <c r="G174" s="11"/>
      <c r="K174" s="36"/>
      <c r="L174" s="36"/>
      <c r="M174" s="36"/>
    </row>
    <row r="175" spans="7:13" ht="15.75" customHeight="1">
      <c r="G175" s="11"/>
      <c r="K175" s="36"/>
      <c r="L175" s="36"/>
      <c r="M175" s="36"/>
    </row>
    <row r="176" spans="7:13" ht="15.75" customHeight="1">
      <c r="G176" s="11"/>
      <c r="K176" s="36"/>
      <c r="L176" s="36"/>
      <c r="M176" s="36"/>
    </row>
    <row r="177" spans="7:13" ht="15.75" customHeight="1">
      <c r="G177" s="11"/>
      <c r="K177" s="36"/>
      <c r="L177" s="36"/>
      <c r="M177" s="36"/>
    </row>
    <row r="178" spans="7:13" ht="15.75" customHeight="1">
      <c r="G178" s="11"/>
      <c r="K178" s="36"/>
      <c r="L178" s="36"/>
      <c r="M178" s="36"/>
    </row>
    <row r="179" spans="7:13" ht="15.75" customHeight="1">
      <c r="G179" s="11"/>
      <c r="K179" s="36"/>
      <c r="L179" s="36"/>
      <c r="M179" s="36"/>
    </row>
    <row r="180" spans="7:13" ht="15.75" customHeight="1">
      <c r="G180" s="11"/>
      <c r="K180" s="36"/>
      <c r="L180" s="36"/>
      <c r="M180" s="36"/>
    </row>
    <row r="181" spans="7:13" ht="15.75" customHeight="1">
      <c r="G181" s="11"/>
      <c r="K181" s="36"/>
      <c r="L181" s="36"/>
      <c r="M181" s="36"/>
    </row>
    <row r="182" spans="7:13" ht="15.75" customHeight="1">
      <c r="G182" s="11"/>
      <c r="K182" s="36"/>
      <c r="L182" s="36"/>
      <c r="M182" s="36"/>
    </row>
    <row r="183" spans="7:13" ht="15.75" customHeight="1">
      <c r="G183" s="11"/>
      <c r="K183" s="36"/>
      <c r="L183" s="36"/>
      <c r="M183" s="36"/>
    </row>
    <row r="184" spans="7:13" ht="15.75" customHeight="1">
      <c r="G184" s="11"/>
      <c r="K184" s="36"/>
      <c r="L184" s="36"/>
      <c r="M184" s="36"/>
    </row>
    <row r="185" spans="7:13" ht="15.75" customHeight="1">
      <c r="G185" s="11"/>
      <c r="K185" s="36"/>
      <c r="L185" s="36"/>
      <c r="M185" s="36"/>
    </row>
    <row r="186" spans="7:13" ht="15.75" customHeight="1">
      <c r="G186" s="11"/>
      <c r="K186" s="36"/>
      <c r="L186" s="36"/>
      <c r="M186" s="36"/>
    </row>
    <row r="187" spans="7:13" ht="15.75" customHeight="1">
      <c r="G187" s="11"/>
      <c r="K187" s="36"/>
      <c r="L187" s="36"/>
      <c r="M187" s="36"/>
    </row>
    <row r="188" spans="7:13" ht="15.75" customHeight="1">
      <c r="G188" s="11"/>
      <c r="K188" s="36"/>
      <c r="L188" s="36"/>
      <c r="M188" s="36"/>
    </row>
    <row r="189" spans="7:13" ht="15.75" customHeight="1">
      <c r="G189" s="11"/>
      <c r="K189" s="36"/>
      <c r="L189" s="36"/>
      <c r="M189" s="36"/>
    </row>
    <row r="190" spans="7:13" ht="15.75" customHeight="1">
      <c r="G190" s="11"/>
      <c r="K190" s="36"/>
      <c r="L190" s="36"/>
      <c r="M190" s="36"/>
    </row>
    <row r="191" spans="7:13" ht="15.75" customHeight="1">
      <c r="G191" s="11"/>
      <c r="K191" s="36"/>
      <c r="L191" s="36"/>
      <c r="M191" s="36"/>
    </row>
    <row r="192" spans="7:13" ht="15.75" customHeight="1">
      <c r="G192" s="11"/>
      <c r="K192" s="36"/>
      <c r="L192" s="36"/>
      <c r="M192" s="36"/>
    </row>
    <row r="193" spans="7:13" ht="15.75" customHeight="1">
      <c r="G193" s="11"/>
      <c r="K193" s="36"/>
      <c r="L193" s="36"/>
      <c r="M193" s="36"/>
    </row>
    <row r="194" spans="7:13" ht="15.75" customHeight="1">
      <c r="G194" s="11"/>
      <c r="K194" s="36"/>
      <c r="L194" s="36"/>
      <c r="M194" s="36"/>
    </row>
    <row r="195" spans="7:13" ht="15.75" customHeight="1">
      <c r="G195" s="11"/>
      <c r="K195" s="36"/>
      <c r="L195" s="36"/>
      <c r="M195" s="36"/>
    </row>
    <row r="196" spans="7:13" ht="15.75" customHeight="1">
      <c r="G196" s="11"/>
      <c r="K196" s="36"/>
      <c r="L196" s="36"/>
      <c r="M196" s="36"/>
    </row>
    <row r="197" spans="7:13" ht="15.75" customHeight="1">
      <c r="G197" s="11"/>
      <c r="K197" s="36"/>
      <c r="L197" s="36"/>
      <c r="M197" s="36"/>
    </row>
    <row r="198" spans="7:13" ht="15.75" customHeight="1">
      <c r="G198" s="11"/>
      <c r="K198" s="36"/>
      <c r="L198" s="36"/>
      <c r="M198" s="36"/>
    </row>
    <row r="199" spans="7:13" ht="15.75" customHeight="1">
      <c r="G199" s="11"/>
      <c r="K199" s="36"/>
      <c r="L199" s="36"/>
      <c r="M199" s="36"/>
    </row>
    <row r="200" spans="7:13" ht="15.75" customHeight="1">
      <c r="G200" s="11"/>
      <c r="K200" s="36"/>
      <c r="L200" s="36"/>
      <c r="M200" s="36"/>
    </row>
    <row r="201" spans="7:13" ht="15.75" customHeight="1">
      <c r="G201" s="11"/>
      <c r="K201" s="36"/>
      <c r="L201" s="36"/>
      <c r="M201" s="36"/>
    </row>
    <row r="202" spans="7:13" ht="15.75" customHeight="1">
      <c r="G202" s="11"/>
      <c r="K202" s="36"/>
      <c r="L202" s="36"/>
      <c r="M202" s="36"/>
    </row>
    <row r="203" spans="7:13" ht="15.75" customHeight="1">
      <c r="G203" s="11"/>
      <c r="K203" s="36"/>
      <c r="L203" s="36"/>
      <c r="M203" s="36"/>
    </row>
    <row r="204" spans="7:13" ht="15.75" customHeight="1">
      <c r="G204" s="11"/>
      <c r="K204" s="36"/>
      <c r="L204" s="36"/>
      <c r="M204" s="36"/>
    </row>
    <row r="205" spans="7:13" ht="15.75" customHeight="1">
      <c r="G205" s="11"/>
      <c r="K205" s="36"/>
      <c r="L205" s="36"/>
      <c r="M205" s="36"/>
    </row>
    <row r="206" spans="7:13" ht="15.75" customHeight="1">
      <c r="G206" s="11"/>
      <c r="K206" s="36"/>
      <c r="L206" s="36"/>
      <c r="M206" s="36"/>
    </row>
    <row r="207" spans="7:13" ht="15.75" customHeight="1">
      <c r="G207" s="11"/>
      <c r="K207" s="36"/>
      <c r="L207" s="36"/>
      <c r="M207" s="36"/>
    </row>
    <row r="208" spans="7:13" ht="15.75" customHeight="1">
      <c r="G208" s="11"/>
      <c r="K208" s="36"/>
      <c r="L208" s="36"/>
      <c r="M208" s="36"/>
    </row>
    <row r="209" spans="7:13" ht="15.75" customHeight="1">
      <c r="G209" s="11"/>
      <c r="K209" s="36"/>
      <c r="L209" s="36"/>
      <c r="M209" s="36"/>
    </row>
    <row r="210" spans="7:13" ht="15.75" customHeight="1">
      <c r="G210" s="11"/>
      <c r="K210" s="36"/>
      <c r="L210" s="36"/>
      <c r="M210" s="36"/>
    </row>
    <row r="211" spans="7:13" ht="15.75" customHeight="1">
      <c r="G211" s="11"/>
      <c r="K211" s="36"/>
      <c r="L211" s="36"/>
      <c r="M211" s="36"/>
    </row>
    <row r="212" spans="7:13" ht="15.75" customHeight="1">
      <c r="G212" s="11"/>
      <c r="K212" s="36"/>
      <c r="L212" s="36"/>
      <c r="M212" s="36"/>
    </row>
    <row r="213" spans="7:13" ht="15.75" customHeight="1">
      <c r="G213" s="11"/>
      <c r="K213" s="36"/>
      <c r="L213" s="36"/>
      <c r="M213" s="36"/>
    </row>
    <row r="214" spans="7:13" ht="15.75" customHeight="1">
      <c r="G214" s="11"/>
      <c r="K214" s="36"/>
      <c r="L214" s="36"/>
      <c r="M214" s="36"/>
    </row>
    <row r="215" spans="7:13" ht="15.75" customHeight="1">
      <c r="G215" s="11"/>
      <c r="K215" s="36"/>
      <c r="L215" s="36"/>
      <c r="M215" s="36"/>
    </row>
    <row r="216" spans="7:13" ht="15.75" customHeight="1">
      <c r="G216" s="11"/>
      <c r="K216" s="36"/>
      <c r="L216" s="36"/>
      <c r="M216" s="36"/>
    </row>
    <row r="217" spans="7:13" ht="15.75" customHeight="1">
      <c r="G217" s="11"/>
      <c r="K217" s="36"/>
      <c r="L217" s="36"/>
      <c r="M217" s="36"/>
    </row>
    <row r="218" spans="7:13" ht="15.75" customHeight="1">
      <c r="G218" s="11"/>
      <c r="K218" s="36"/>
      <c r="L218" s="36"/>
      <c r="M218" s="36"/>
    </row>
    <row r="219" spans="7:13" ht="15.75" customHeight="1">
      <c r="G219" s="11"/>
      <c r="K219" s="36"/>
      <c r="L219" s="36"/>
      <c r="M219" s="36"/>
    </row>
    <row r="220" spans="7:13" ht="15.75" customHeight="1">
      <c r="G220" s="11"/>
      <c r="K220" s="36"/>
      <c r="L220" s="36"/>
      <c r="M220" s="36"/>
    </row>
    <row r="221" spans="7:13" ht="15.75" customHeight="1">
      <c r="G221" s="11"/>
      <c r="K221" s="36"/>
      <c r="L221" s="36"/>
      <c r="M221" s="36"/>
    </row>
    <row r="222" spans="7:13" ht="15.75" customHeight="1">
      <c r="G222" s="11"/>
      <c r="K222" s="36"/>
      <c r="L222" s="36"/>
      <c r="M222" s="36"/>
    </row>
    <row r="223" spans="7:13" ht="15.75" customHeight="1">
      <c r="G223" s="11"/>
      <c r="K223" s="36"/>
      <c r="L223" s="36"/>
      <c r="M223" s="36"/>
    </row>
    <row r="224" spans="7:13" ht="15.75" customHeight="1">
      <c r="G224" s="11"/>
      <c r="K224" s="36"/>
      <c r="L224" s="36"/>
      <c r="M224" s="36"/>
    </row>
    <row r="225" spans="7:13" ht="15.75" customHeight="1">
      <c r="G225" s="11"/>
      <c r="K225" s="36"/>
      <c r="L225" s="36"/>
      <c r="M225" s="36"/>
    </row>
    <row r="226" spans="7:13" ht="15.75" customHeight="1">
      <c r="G226" s="11"/>
      <c r="K226" s="36"/>
      <c r="L226" s="36"/>
      <c r="M226" s="36"/>
    </row>
    <row r="227" spans="7:13" ht="15.75" customHeight="1">
      <c r="G227" s="11"/>
      <c r="K227" s="36"/>
      <c r="L227" s="36"/>
      <c r="M227" s="36"/>
    </row>
    <row r="228" spans="7:13" ht="15.75" customHeight="1">
      <c r="G228" s="11"/>
      <c r="K228" s="36"/>
      <c r="L228" s="36"/>
      <c r="M228" s="36"/>
    </row>
    <row r="229" spans="7:13" ht="15.75" customHeight="1">
      <c r="G229" s="11"/>
      <c r="K229" s="36"/>
      <c r="L229" s="36"/>
      <c r="M229" s="36"/>
    </row>
    <row r="230" spans="7:13" ht="15.75" customHeight="1">
      <c r="G230" s="11"/>
      <c r="K230" s="36"/>
      <c r="L230" s="36"/>
      <c r="M230" s="36"/>
    </row>
    <row r="231" spans="7:13" ht="15.75" customHeight="1">
      <c r="G231" s="11"/>
      <c r="K231" s="36"/>
      <c r="L231" s="36"/>
      <c r="M231" s="36"/>
    </row>
    <row r="232" spans="7:13" ht="15.75" customHeight="1">
      <c r="G232" s="11"/>
      <c r="K232" s="36"/>
      <c r="L232" s="36"/>
      <c r="M232" s="36"/>
    </row>
    <row r="233" spans="7:13" ht="15.75" customHeight="1">
      <c r="G233" s="11"/>
      <c r="K233" s="36"/>
      <c r="L233" s="36"/>
      <c r="M233" s="36"/>
    </row>
    <row r="234" spans="7:13" ht="15.75" customHeight="1">
      <c r="G234" s="11"/>
      <c r="K234" s="36"/>
      <c r="L234" s="36"/>
      <c r="M234" s="36"/>
    </row>
    <row r="235" spans="7:13" ht="15.75" customHeight="1">
      <c r="G235" s="11"/>
      <c r="K235" s="36"/>
      <c r="L235" s="36"/>
      <c r="M235" s="36"/>
    </row>
    <row r="236" spans="7:13" ht="15.75" customHeight="1">
      <c r="G236" s="11"/>
      <c r="K236" s="36"/>
      <c r="L236" s="36"/>
      <c r="M236" s="36"/>
    </row>
    <row r="237" spans="7:13" ht="15.75" customHeight="1">
      <c r="G237" s="11"/>
      <c r="K237" s="36"/>
      <c r="L237" s="36"/>
      <c r="M237" s="36"/>
    </row>
    <row r="238" spans="7:13" ht="15.75" customHeight="1">
      <c r="G238" s="11"/>
      <c r="K238" s="36"/>
      <c r="L238" s="36"/>
      <c r="M238" s="36"/>
    </row>
    <row r="239" spans="7:13" ht="15.75" customHeight="1">
      <c r="G239" s="11"/>
      <c r="K239" s="36"/>
      <c r="L239" s="36"/>
      <c r="M239" s="36"/>
    </row>
    <row r="240" spans="7:13" ht="15.75" customHeight="1">
      <c r="G240" s="11"/>
      <c r="K240" s="36"/>
      <c r="L240" s="36"/>
      <c r="M240" s="36"/>
    </row>
    <row r="241" spans="7:13" ht="15.75" customHeight="1">
      <c r="G241" s="11"/>
      <c r="K241" s="36"/>
      <c r="L241" s="36"/>
      <c r="M241" s="36"/>
    </row>
    <row r="242" spans="7:13" ht="15.75" customHeight="1">
      <c r="G242" s="11"/>
      <c r="K242" s="36"/>
      <c r="L242" s="36"/>
      <c r="M242" s="36"/>
    </row>
    <row r="243" spans="7:13" ht="15.75" customHeight="1">
      <c r="G243" s="11"/>
      <c r="K243" s="36"/>
      <c r="L243" s="36"/>
      <c r="M243" s="36"/>
    </row>
    <row r="244" spans="7:13" ht="15.75" customHeight="1">
      <c r="G244" s="11"/>
      <c r="K244" s="36"/>
      <c r="L244" s="36"/>
      <c r="M244" s="36"/>
    </row>
    <row r="245" spans="7:13" ht="15.75" customHeight="1">
      <c r="G245" s="11"/>
      <c r="K245" s="36"/>
      <c r="L245" s="36"/>
      <c r="M245" s="36"/>
    </row>
    <row r="246" spans="7:13" ht="15.75" customHeight="1">
      <c r="G246" s="11"/>
      <c r="K246" s="36"/>
      <c r="L246" s="36"/>
      <c r="M246" s="36"/>
    </row>
    <row r="247" spans="7:13" ht="15.75" customHeight="1">
      <c r="G247" s="11"/>
      <c r="K247" s="36"/>
      <c r="L247" s="36"/>
      <c r="M247" s="36"/>
    </row>
    <row r="248" spans="7:13" ht="15.75" customHeight="1">
      <c r="G248" s="11"/>
      <c r="K248" s="36"/>
      <c r="L248" s="36"/>
      <c r="M248" s="36"/>
    </row>
    <row r="249" spans="7:13" ht="15.75" customHeight="1">
      <c r="G249" s="11"/>
      <c r="K249" s="36"/>
      <c r="L249" s="36"/>
      <c r="M249" s="36"/>
    </row>
    <row r="250" spans="7:13" ht="15.75" customHeight="1">
      <c r="G250" s="11"/>
      <c r="K250" s="36"/>
      <c r="L250" s="36"/>
      <c r="M250" s="36"/>
    </row>
    <row r="251" spans="7:13" ht="15.75" customHeight="1">
      <c r="G251" s="11"/>
      <c r="K251" s="36"/>
      <c r="L251" s="36"/>
      <c r="M251" s="36"/>
    </row>
    <row r="252" spans="7:13" ht="15.75" customHeight="1">
      <c r="G252" s="11"/>
      <c r="K252" s="36"/>
      <c r="L252" s="36"/>
      <c r="M252" s="36"/>
    </row>
    <row r="253" spans="7:13" ht="15.75" customHeight="1">
      <c r="G253" s="11"/>
      <c r="K253" s="36"/>
      <c r="L253" s="36"/>
      <c r="M253" s="36"/>
    </row>
    <row r="254" spans="7:13" ht="15.75" customHeight="1">
      <c r="G254" s="11"/>
      <c r="K254" s="36"/>
      <c r="L254" s="36"/>
      <c r="M254" s="36"/>
    </row>
    <row r="255" spans="7:13" ht="15.75" customHeight="1">
      <c r="G255" s="11"/>
      <c r="K255" s="36"/>
      <c r="L255" s="36"/>
      <c r="M255" s="36"/>
    </row>
    <row r="256" spans="7:13" ht="15.75" customHeight="1">
      <c r="G256" s="11"/>
      <c r="K256" s="36"/>
      <c r="L256" s="36"/>
      <c r="M256" s="36"/>
    </row>
    <row r="257" spans="7:13" ht="15.75" customHeight="1">
      <c r="G257" s="11"/>
      <c r="K257" s="36"/>
      <c r="L257" s="36"/>
      <c r="M257" s="36"/>
    </row>
    <row r="258" spans="7:13" ht="15.75" customHeight="1">
      <c r="G258" s="11"/>
      <c r="K258" s="36"/>
      <c r="L258" s="36"/>
      <c r="M258" s="36"/>
    </row>
    <row r="259" spans="7:13" ht="15.75" customHeight="1">
      <c r="G259" s="11"/>
      <c r="K259" s="36"/>
      <c r="L259" s="36"/>
      <c r="M259" s="36"/>
    </row>
    <row r="260" spans="7:13" ht="15.75" customHeight="1">
      <c r="G260" s="11"/>
      <c r="K260" s="36"/>
      <c r="L260" s="36"/>
      <c r="M260" s="36"/>
    </row>
    <row r="261" spans="7:13" ht="15.75" customHeight="1">
      <c r="G261" s="11"/>
      <c r="K261" s="36"/>
      <c r="L261" s="36"/>
      <c r="M261" s="36"/>
    </row>
    <row r="262" spans="7:13" ht="15.75" customHeight="1">
      <c r="G262" s="11"/>
      <c r="K262" s="36"/>
      <c r="L262" s="36"/>
      <c r="M262" s="36"/>
    </row>
    <row r="263" spans="7:13" ht="15.75" customHeight="1">
      <c r="G263" s="11"/>
      <c r="K263" s="36"/>
      <c r="L263" s="36"/>
      <c r="M263" s="36"/>
    </row>
    <row r="264" spans="7:13" ht="15.75" customHeight="1">
      <c r="G264" s="11"/>
      <c r="K264" s="36"/>
      <c r="L264" s="36"/>
      <c r="M264" s="36"/>
    </row>
    <row r="265" spans="7:13" ht="15.75" customHeight="1">
      <c r="G265" s="11"/>
      <c r="K265" s="36"/>
      <c r="L265" s="36"/>
      <c r="M265" s="36"/>
    </row>
    <row r="266" spans="7:13" ht="15.75" customHeight="1">
      <c r="G266" s="11"/>
      <c r="K266" s="36"/>
      <c r="L266" s="36"/>
      <c r="M266" s="36"/>
    </row>
    <row r="267" spans="7:13" ht="15.75" customHeight="1">
      <c r="G267" s="11"/>
      <c r="K267" s="36"/>
      <c r="L267" s="36"/>
      <c r="M267" s="36"/>
    </row>
    <row r="268" spans="7:13" ht="15.75" customHeight="1">
      <c r="G268" s="11"/>
      <c r="K268" s="36"/>
      <c r="L268" s="36"/>
      <c r="M268" s="36"/>
    </row>
    <row r="269" spans="7:13" ht="15.75" customHeight="1">
      <c r="G269" s="11"/>
      <c r="K269" s="36"/>
      <c r="L269" s="36"/>
      <c r="M269" s="36"/>
    </row>
    <row r="270" spans="7:13" ht="15.75" customHeight="1">
      <c r="G270" s="11"/>
      <c r="K270" s="36"/>
      <c r="L270" s="36"/>
      <c r="M270" s="36"/>
    </row>
    <row r="271" spans="7:13" ht="15.75" customHeight="1">
      <c r="G271" s="11"/>
      <c r="K271" s="36"/>
      <c r="L271" s="36"/>
      <c r="M271" s="36"/>
    </row>
    <row r="272" spans="7:13" ht="15.75" customHeight="1">
      <c r="G272" s="11"/>
      <c r="K272" s="36"/>
      <c r="L272" s="36"/>
      <c r="M272" s="36"/>
    </row>
    <row r="273" spans="7:13" ht="15.75" customHeight="1">
      <c r="G273" s="11"/>
      <c r="K273" s="36"/>
      <c r="L273" s="36"/>
      <c r="M273" s="36"/>
    </row>
    <row r="274" spans="7:13" ht="15.75" customHeight="1">
      <c r="G274" s="11"/>
      <c r="K274" s="36"/>
      <c r="L274" s="36"/>
      <c r="M274" s="36"/>
    </row>
    <row r="275" spans="7:13" ht="15.75" customHeight="1">
      <c r="G275" s="11"/>
      <c r="K275" s="36"/>
      <c r="L275" s="36"/>
      <c r="M275" s="36"/>
    </row>
    <row r="276" spans="7:13" ht="15.75" customHeight="1">
      <c r="G276" s="11"/>
      <c r="K276" s="36"/>
      <c r="L276" s="36"/>
      <c r="M276" s="36"/>
    </row>
    <row r="277" spans="7:13" ht="15.75" customHeight="1">
      <c r="G277" s="11"/>
      <c r="K277" s="36"/>
      <c r="L277" s="36"/>
      <c r="M277" s="36"/>
    </row>
    <row r="278" spans="7:13" ht="15.75" customHeight="1">
      <c r="G278" s="11"/>
      <c r="K278" s="36"/>
      <c r="L278" s="36"/>
      <c r="M278" s="36"/>
    </row>
    <row r="279" spans="7:13" ht="15.75" customHeight="1">
      <c r="G279" s="11"/>
      <c r="K279" s="36"/>
      <c r="L279" s="36"/>
      <c r="M279" s="36"/>
    </row>
    <row r="280" spans="7:13" ht="15.75" customHeight="1">
      <c r="G280" s="11"/>
      <c r="K280" s="36"/>
      <c r="L280" s="36"/>
      <c r="M280" s="36"/>
    </row>
    <row r="281" spans="7:13" ht="15.75" customHeight="1">
      <c r="G281" s="11"/>
      <c r="K281" s="36"/>
      <c r="L281" s="36"/>
      <c r="M281" s="36"/>
    </row>
    <row r="282" spans="7:13" ht="15.75" customHeight="1">
      <c r="G282" s="11"/>
      <c r="K282" s="36"/>
      <c r="L282" s="36"/>
      <c r="M282" s="36"/>
    </row>
    <row r="283" spans="7:13" ht="15.75" customHeight="1">
      <c r="G283" s="11"/>
      <c r="K283" s="36"/>
      <c r="L283" s="36"/>
      <c r="M283" s="36"/>
    </row>
    <row r="284" spans="7:13" ht="15.75" customHeight="1">
      <c r="G284" s="11"/>
      <c r="K284" s="36"/>
      <c r="L284" s="36"/>
      <c r="M284" s="36"/>
    </row>
    <row r="285" spans="7:13" ht="15.75" customHeight="1">
      <c r="G285" s="11"/>
      <c r="K285" s="36"/>
      <c r="L285" s="36"/>
      <c r="M285" s="36"/>
    </row>
    <row r="286" spans="7:13" ht="15.75" customHeight="1">
      <c r="G286" s="11"/>
      <c r="K286" s="36"/>
      <c r="L286" s="36"/>
      <c r="M286" s="36"/>
    </row>
    <row r="287" spans="7:13" ht="15.75" customHeight="1">
      <c r="G287" s="11"/>
      <c r="K287" s="36"/>
      <c r="L287" s="36"/>
      <c r="M287" s="36"/>
    </row>
    <row r="288" spans="7:13" ht="15.75" customHeight="1">
      <c r="G288" s="11"/>
      <c r="K288" s="36"/>
      <c r="L288" s="36"/>
      <c r="M288" s="36"/>
    </row>
    <row r="289" spans="7:13" ht="15.75" customHeight="1">
      <c r="G289" s="11"/>
      <c r="K289" s="36"/>
      <c r="L289" s="36"/>
      <c r="M289" s="36"/>
    </row>
    <row r="290" spans="7:13" ht="15.75" customHeight="1">
      <c r="G290" s="11"/>
      <c r="K290" s="36"/>
      <c r="L290" s="36"/>
      <c r="M290" s="36"/>
    </row>
    <row r="291" spans="7:13" ht="15.75" customHeight="1">
      <c r="G291" s="11"/>
      <c r="K291" s="36"/>
      <c r="L291" s="36"/>
      <c r="M291" s="36"/>
    </row>
    <row r="292" spans="7:13" ht="15.75" customHeight="1">
      <c r="G292" s="11"/>
      <c r="K292" s="36"/>
      <c r="L292" s="36"/>
      <c r="M292" s="36"/>
    </row>
    <row r="293" spans="7:13" ht="15.75" customHeight="1">
      <c r="G293" s="11"/>
      <c r="K293" s="36"/>
      <c r="L293" s="36"/>
      <c r="M293" s="36"/>
    </row>
    <row r="294" spans="7:13" ht="15.75" customHeight="1">
      <c r="G294" s="11"/>
      <c r="K294" s="36"/>
      <c r="L294" s="36"/>
      <c r="M294" s="36"/>
    </row>
    <row r="295" spans="7:13" ht="15.75" customHeight="1">
      <c r="G295" s="11"/>
      <c r="K295" s="36"/>
      <c r="L295" s="36"/>
      <c r="M295" s="36"/>
    </row>
    <row r="296" spans="7:13" ht="15.75" customHeight="1">
      <c r="G296" s="11"/>
      <c r="K296" s="36"/>
      <c r="L296" s="36"/>
      <c r="M296" s="36"/>
    </row>
    <row r="297" spans="7:13" ht="15.75" customHeight="1">
      <c r="G297" s="11"/>
      <c r="K297" s="36"/>
      <c r="L297" s="36"/>
      <c r="M297" s="36"/>
    </row>
    <row r="298" spans="7:13" ht="15.75" customHeight="1">
      <c r="G298" s="11"/>
      <c r="K298" s="36"/>
      <c r="L298" s="36"/>
      <c r="M298" s="36"/>
    </row>
    <row r="299" spans="7:13" ht="15.75" customHeight="1">
      <c r="G299" s="11"/>
      <c r="K299" s="36"/>
      <c r="L299" s="36"/>
      <c r="M299" s="36"/>
    </row>
    <row r="300" spans="7:13" ht="15.75" customHeight="1">
      <c r="G300" s="11"/>
      <c r="K300" s="36"/>
      <c r="L300" s="36"/>
      <c r="M300" s="36"/>
    </row>
    <row r="301" spans="7:13" ht="15.75" customHeight="1">
      <c r="G301" s="11"/>
      <c r="K301" s="36"/>
      <c r="L301" s="36"/>
      <c r="M301" s="36"/>
    </row>
    <row r="302" spans="7:13" ht="15.75" customHeight="1">
      <c r="G302" s="11"/>
      <c r="K302" s="36"/>
      <c r="L302" s="36"/>
      <c r="M302" s="36"/>
    </row>
    <row r="303" spans="7:13" ht="15.75" customHeight="1">
      <c r="G303" s="11"/>
      <c r="K303" s="36"/>
      <c r="L303" s="36"/>
      <c r="M303" s="36"/>
    </row>
    <row r="304" spans="7:13" ht="15.75" customHeight="1">
      <c r="G304" s="11"/>
      <c r="K304" s="36"/>
      <c r="L304" s="36"/>
      <c r="M304" s="36"/>
    </row>
    <row r="305" spans="7:13" ht="15.75" customHeight="1">
      <c r="G305" s="11"/>
      <c r="K305" s="36"/>
      <c r="L305" s="36"/>
      <c r="M305" s="36"/>
    </row>
    <row r="306" spans="7:13" ht="15.75" customHeight="1">
      <c r="G306" s="11"/>
      <c r="K306" s="36"/>
      <c r="L306" s="36"/>
      <c r="M306" s="36"/>
    </row>
    <row r="307" spans="7:13" ht="15.75" customHeight="1">
      <c r="G307" s="11"/>
      <c r="K307" s="36"/>
      <c r="L307" s="36"/>
      <c r="M307" s="36"/>
    </row>
    <row r="308" spans="7:13" ht="15.75" customHeight="1">
      <c r="G308" s="11"/>
      <c r="K308" s="36"/>
      <c r="L308" s="36"/>
      <c r="M308" s="36"/>
    </row>
    <row r="309" spans="7:13" ht="15.75" customHeight="1">
      <c r="G309" s="11"/>
      <c r="K309" s="36"/>
      <c r="L309" s="36"/>
      <c r="M309" s="36"/>
    </row>
    <row r="310" spans="7:13" ht="15.75" customHeight="1">
      <c r="G310" s="11"/>
      <c r="K310" s="36"/>
      <c r="L310" s="36"/>
      <c r="M310" s="36"/>
    </row>
    <row r="311" spans="7:13" ht="15.75" customHeight="1">
      <c r="G311" s="11"/>
      <c r="K311" s="36"/>
      <c r="L311" s="36"/>
      <c r="M311" s="36"/>
    </row>
    <row r="312" spans="7:13" ht="15.75" customHeight="1">
      <c r="G312" s="11"/>
      <c r="K312" s="36"/>
      <c r="L312" s="36"/>
      <c r="M312" s="36"/>
    </row>
    <row r="313" spans="7:13" ht="15.75" customHeight="1">
      <c r="G313" s="11"/>
      <c r="K313" s="36"/>
      <c r="L313" s="36"/>
      <c r="M313" s="36"/>
    </row>
    <row r="314" spans="7:13" ht="15.75" customHeight="1">
      <c r="G314" s="11"/>
      <c r="K314" s="36"/>
      <c r="L314" s="36"/>
      <c r="M314" s="36"/>
    </row>
    <row r="315" spans="7:13" ht="15.75" customHeight="1">
      <c r="G315" s="11"/>
      <c r="K315" s="36"/>
      <c r="L315" s="36"/>
      <c r="M315" s="36"/>
    </row>
    <row r="316" spans="7:13" ht="15.75" customHeight="1">
      <c r="G316" s="11"/>
      <c r="K316" s="36"/>
      <c r="L316" s="36"/>
      <c r="M316" s="36"/>
    </row>
    <row r="317" spans="7:13" ht="15.75" customHeight="1">
      <c r="G317" s="11"/>
      <c r="K317" s="36"/>
      <c r="L317" s="36"/>
      <c r="M317" s="36"/>
    </row>
    <row r="318" spans="7:13" ht="15.75" customHeight="1">
      <c r="G318" s="11"/>
      <c r="K318" s="36"/>
      <c r="L318" s="36"/>
      <c r="M318" s="36"/>
    </row>
    <row r="319" spans="7:13" ht="15.75" customHeight="1">
      <c r="G319" s="11"/>
      <c r="K319" s="36"/>
      <c r="L319" s="36"/>
      <c r="M319" s="36"/>
    </row>
    <row r="320" spans="7:13" ht="15.75" customHeight="1">
      <c r="G320" s="11"/>
      <c r="K320" s="36"/>
      <c r="L320" s="36"/>
      <c r="M320" s="36"/>
    </row>
    <row r="321" spans="7:13" ht="15.75" customHeight="1">
      <c r="G321" s="11"/>
      <c r="K321" s="36"/>
      <c r="L321" s="36"/>
      <c r="M321" s="36"/>
    </row>
    <row r="322" spans="7:13" ht="15.75" customHeight="1">
      <c r="G322" s="11"/>
      <c r="K322" s="36"/>
      <c r="L322" s="36"/>
      <c r="M322" s="36"/>
    </row>
    <row r="323" spans="7:13" ht="15.75" customHeight="1">
      <c r="G323" s="11"/>
      <c r="K323" s="36"/>
      <c r="L323" s="36"/>
      <c r="M323" s="36"/>
    </row>
    <row r="324" spans="7:13" ht="15.75" customHeight="1">
      <c r="G324" s="11"/>
      <c r="K324" s="36"/>
      <c r="L324" s="36"/>
      <c r="M324" s="36"/>
    </row>
    <row r="325" spans="7:13" ht="15.75" customHeight="1">
      <c r="G325" s="11"/>
      <c r="K325" s="36"/>
      <c r="L325" s="36"/>
      <c r="M325" s="36"/>
    </row>
    <row r="326" spans="7:13" ht="15.75" customHeight="1">
      <c r="G326" s="11"/>
      <c r="K326" s="36"/>
      <c r="L326" s="36"/>
      <c r="M326" s="36"/>
    </row>
    <row r="327" spans="7:13" ht="15.75" customHeight="1">
      <c r="G327" s="11"/>
      <c r="K327" s="36"/>
      <c r="L327" s="36"/>
      <c r="M327" s="36"/>
    </row>
    <row r="328" spans="7:13" ht="15.75" customHeight="1">
      <c r="G328" s="11"/>
      <c r="K328" s="36"/>
      <c r="L328" s="36"/>
      <c r="M328" s="36"/>
    </row>
    <row r="329" spans="7:13" ht="15.75" customHeight="1">
      <c r="G329" s="11"/>
      <c r="K329" s="36"/>
      <c r="L329" s="36"/>
      <c r="M329" s="36"/>
    </row>
    <row r="330" spans="7:13" ht="15.75" customHeight="1">
      <c r="G330" s="11"/>
      <c r="K330" s="36"/>
      <c r="L330" s="36"/>
      <c r="M330" s="36"/>
    </row>
    <row r="331" spans="7:13" ht="15.75" customHeight="1">
      <c r="G331" s="11"/>
      <c r="K331" s="36"/>
      <c r="L331" s="36"/>
      <c r="M331" s="36"/>
    </row>
    <row r="332" spans="7:13" ht="15.75" customHeight="1">
      <c r="G332" s="11"/>
      <c r="K332" s="36"/>
      <c r="L332" s="36"/>
      <c r="M332" s="36"/>
    </row>
    <row r="333" spans="7:13" ht="15.75" customHeight="1">
      <c r="G333" s="11"/>
      <c r="K333" s="36"/>
      <c r="L333" s="36"/>
      <c r="M333" s="36"/>
    </row>
    <row r="334" spans="7:13" ht="15.75" customHeight="1">
      <c r="G334" s="11"/>
      <c r="K334" s="36"/>
      <c r="L334" s="36"/>
      <c r="M334" s="36"/>
    </row>
    <row r="335" spans="7:13" ht="15.75" customHeight="1">
      <c r="G335" s="11"/>
      <c r="K335" s="36"/>
      <c r="L335" s="36"/>
      <c r="M335" s="36"/>
    </row>
    <row r="336" spans="7:13" ht="15.75" customHeight="1">
      <c r="G336" s="11"/>
      <c r="K336" s="36"/>
      <c r="L336" s="36"/>
      <c r="M336" s="36"/>
    </row>
    <row r="337" spans="7:13" ht="15.75" customHeight="1">
      <c r="G337" s="11"/>
      <c r="K337" s="36"/>
      <c r="L337" s="36"/>
      <c r="M337" s="36"/>
    </row>
    <row r="338" spans="7:13" ht="15.75" customHeight="1">
      <c r="G338" s="11"/>
      <c r="K338" s="36"/>
      <c r="L338" s="36"/>
      <c r="M338" s="36"/>
    </row>
    <row r="339" spans="7:13" ht="15.75" customHeight="1">
      <c r="G339" s="11"/>
      <c r="K339" s="36"/>
      <c r="L339" s="36"/>
      <c r="M339" s="36"/>
    </row>
    <row r="340" spans="7:13" ht="15.75" customHeight="1">
      <c r="G340" s="11"/>
      <c r="K340" s="36"/>
      <c r="L340" s="36"/>
      <c r="M340" s="36"/>
    </row>
    <row r="341" spans="7:13" ht="15.75" customHeight="1">
      <c r="G341" s="11"/>
      <c r="K341" s="36"/>
      <c r="L341" s="36"/>
      <c r="M341" s="36"/>
    </row>
    <row r="342" spans="7:13" ht="15.75" customHeight="1">
      <c r="G342" s="11"/>
      <c r="K342" s="36"/>
      <c r="L342" s="36"/>
      <c r="M342" s="36"/>
    </row>
    <row r="343" spans="7:13" ht="15.75" customHeight="1">
      <c r="G343" s="11"/>
      <c r="K343" s="36"/>
      <c r="L343" s="36"/>
      <c r="M343" s="36"/>
    </row>
    <row r="344" spans="7:13" ht="15.75" customHeight="1">
      <c r="G344" s="11"/>
      <c r="K344" s="36"/>
      <c r="L344" s="36"/>
      <c r="M344" s="36"/>
    </row>
    <row r="345" spans="7:13" ht="15.75" customHeight="1">
      <c r="G345" s="11"/>
      <c r="K345" s="36"/>
      <c r="L345" s="36"/>
      <c r="M345" s="36"/>
    </row>
    <row r="346" spans="7:13" ht="15.75" customHeight="1">
      <c r="G346" s="11"/>
      <c r="K346" s="36"/>
      <c r="L346" s="36"/>
      <c r="M346" s="36"/>
    </row>
    <row r="347" spans="7:13" ht="15.75" customHeight="1">
      <c r="G347" s="11"/>
      <c r="K347" s="36"/>
      <c r="L347" s="36"/>
      <c r="M347" s="36"/>
    </row>
    <row r="348" spans="7:13" ht="15.75" customHeight="1">
      <c r="G348" s="11"/>
      <c r="K348" s="36"/>
      <c r="L348" s="36"/>
      <c r="M348" s="36"/>
    </row>
    <row r="349" spans="7:13" ht="15.75" customHeight="1">
      <c r="G349" s="11"/>
      <c r="K349" s="36"/>
      <c r="L349" s="36"/>
      <c r="M349" s="36"/>
    </row>
    <row r="350" spans="7:13" ht="15.75" customHeight="1">
      <c r="G350" s="11"/>
      <c r="K350" s="36"/>
      <c r="L350" s="36"/>
      <c r="M350" s="36"/>
    </row>
    <row r="351" spans="7:13" ht="15.75" customHeight="1">
      <c r="G351" s="11"/>
      <c r="K351" s="36"/>
      <c r="L351" s="36"/>
      <c r="M351" s="36"/>
    </row>
    <row r="352" spans="7:13" ht="15.75" customHeight="1">
      <c r="G352" s="11"/>
      <c r="K352" s="36"/>
      <c r="L352" s="36"/>
      <c r="M352" s="36"/>
    </row>
    <row r="353" spans="7:13" ht="15.75" customHeight="1">
      <c r="G353" s="11"/>
      <c r="K353" s="36"/>
      <c r="L353" s="36"/>
      <c r="M353" s="36"/>
    </row>
    <row r="354" spans="7:13" ht="15.75" customHeight="1">
      <c r="G354" s="11"/>
      <c r="K354" s="36"/>
      <c r="L354" s="36"/>
      <c r="M354" s="36"/>
    </row>
    <row r="355" spans="7:13" ht="15.75" customHeight="1">
      <c r="G355" s="11"/>
      <c r="K355" s="36"/>
      <c r="L355" s="36"/>
      <c r="M355" s="36"/>
    </row>
    <row r="356" spans="7:13" ht="15.75" customHeight="1">
      <c r="G356" s="11"/>
      <c r="K356" s="36"/>
      <c r="L356" s="36"/>
      <c r="M356" s="36"/>
    </row>
    <row r="357" spans="7:13" ht="15.75" customHeight="1">
      <c r="G357" s="11"/>
      <c r="K357" s="36"/>
      <c r="L357" s="36"/>
      <c r="M357" s="36"/>
    </row>
    <row r="358" spans="7:13" ht="15.75" customHeight="1">
      <c r="G358" s="11"/>
      <c r="K358" s="36"/>
      <c r="L358" s="36"/>
      <c r="M358" s="36"/>
    </row>
    <row r="359" spans="7:13" ht="15.75" customHeight="1">
      <c r="G359" s="11"/>
      <c r="K359" s="36"/>
      <c r="L359" s="36"/>
      <c r="M359" s="36"/>
    </row>
    <row r="360" spans="7:13" ht="15.75" customHeight="1">
      <c r="G360" s="11"/>
      <c r="K360" s="36"/>
      <c r="L360" s="36"/>
      <c r="M360" s="36"/>
    </row>
    <row r="361" spans="7:13" ht="15.75" customHeight="1">
      <c r="G361" s="11"/>
      <c r="K361" s="36"/>
      <c r="L361" s="36"/>
      <c r="M361" s="36"/>
    </row>
    <row r="362" spans="7:13" ht="15.75" customHeight="1">
      <c r="G362" s="11"/>
      <c r="K362" s="36"/>
      <c r="L362" s="36"/>
      <c r="M362" s="36"/>
    </row>
    <row r="363" spans="7:13" ht="15.75" customHeight="1">
      <c r="G363" s="11"/>
      <c r="K363" s="36"/>
      <c r="L363" s="36"/>
      <c r="M363" s="36"/>
    </row>
    <row r="364" spans="7:13" ht="15.75" customHeight="1">
      <c r="G364" s="11"/>
      <c r="K364" s="36"/>
      <c r="L364" s="36"/>
      <c r="M364" s="36"/>
    </row>
    <row r="365" spans="7:13" ht="15.75" customHeight="1">
      <c r="G365" s="11"/>
      <c r="K365" s="36"/>
      <c r="L365" s="36"/>
      <c r="M365" s="36"/>
    </row>
    <row r="366" spans="7:13" ht="15.75" customHeight="1">
      <c r="G366" s="11"/>
      <c r="K366" s="36"/>
      <c r="L366" s="36"/>
      <c r="M366" s="36"/>
    </row>
    <row r="367" spans="7:13" ht="15.75" customHeight="1">
      <c r="G367" s="11"/>
      <c r="K367" s="36"/>
      <c r="L367" s="36"/>
      <c r="M367" s="36"/>
    </row>
    <row r="368" spans="7:13" ht="15.75" customHeight="1">
      <c r="G368" s="11"/>
      <c r="K368" s="36"/>
      <c r="L368" s="36"/>
      <c r="M368" s="36"/>
    </row>
    <row r="369" spans="7:13" ht="15.75" customHeight="1">
      <c r="G369" s="11"/>
      <c r="K369" s="36"/>
      <c r="L369" s="36"/>
      <c r="M369" s="36"/>
    </row>
    <row r="370" spans="7:13" ht="15.75" customHeight="1">
      <c r="G370" s="11"/>
      <c r="K370" s="36"/>
      <c r="L370" s="36"/>
      <c r="M370" s="36"/>
    </row>
    <row r="371" spans="7:13" ht="15.75" customHeight="1">
      <c r="G371" s="11"/>
      <c r="K371" s="36"/>
      <c r="L371" s="36"/>
      <c r="M371" s="36"/>
    </row>
    <row r="372" spans="7:13" ht="15.75" customHeight="1">
      <c r="G372" s="11"/>
      <c r="K372" s="36"/>
      <c r="L372" s="36"/>
      <c r="M372" s="36"/>
    </row>
    <row r="373" spans="7:13" ht="15.75" customHeight="1">
      <c r="G373" s="11"/>
      <c r="K373" s="36"/>
      <c r="L373" s="36"/>
      <c r="M373" s="36"/>
    </row>
    <row r="374" spans="7:13" ht="15.75" customHeight="1">
      <c r="G374" s="11"/>
      <c r="K374" s="36"/>
      <c r="L374" s="36"/>
      <c r="M374" s="36"/>
    </row>
    <row r="375" spans="7:13" ht="15.75" customHeight="1">
      <c r="G375" s="11"/>
      <c r="K375" s="36"/>
      <c r="L375" s="36"/>
      <c r="M375" s="36"/>
    </row>
    <row r="376" spans="7:13" ht="15.75" customHeight="1">
      <c r="G376" s="11"/>
      <c r="K376" s="36"/>
      <c r="L376" s="36"/>
      <c r="M376" s="36"/>
    </row>
    <row r="377" spans="7:13" ht="15.75" customHeight="1">
      <c r="G377" s="11"/>
      <c r="K377" s="36"/>
      <c r="L377" s="36"/>
      <c r="M377" s="36"/>
    </row>
    <row r="378" spans="7:13" ht="15.75" customHeight="1">
      <c r="G378" s="11"/>
      <c r="K378" s="36"/>
      <c r="L378" s="36"/>
      <c r="M378" s="36"/>
    </row>
    <row r="379" spans="7:13" ht="15.75" customHeight="1">
      <c r="G379" s="11"/>
      <c r="K379" s="36"/>
      <c r="L379" s="36"/>
      <c r="M379" s="36"/>
    </row>
    <row r="380" spans="7:13" ht="15.75" customHeight="1">
      <c r="G380" s="11"/>
      <c r="K380" s="36"/>
      <c r="L380" s="36"/>
      <c r="M380" s="36"/>
    </row>
    <row r="381" spans="7:13" ht="15.75" customHeight="1">
      <c r="G381" s="11"/>
      <c r="K381" s="36"/>
      <c r="L381" s="36"/>
      <c r="M381" s="36"/>
    </row>
    <row r="382" spans="7:13" ht="15.75" customHeight="1">
      <c r="G382" s="11"/>
      <c r="K382" s="36"/>
      <c r="L382" s="36"/>
      <c r="M382" s="36"/>
    </row>
    <row r="383" spans="7:13" ht="15.75" customHeight="1">
      <c r="G383" s="11"/>
      <c r="K383" s="36"/>
      <c r="L383" s="36"/>
      <c r="M383" s="36"/>
    </row>
    <row r="384" spans="7:13" ht="15.75" customHeight="1">
      <c r="G384" s="11"/>
      <c r="K384" s="36"/>
      <c r="L384" s="36"/>
      <c r="M384" s="36"/>
    </row>
    <row r="385" spans="7:13" ht="15.75" customHeight="1">
      <c r="G385" s="11"/>
      <c r="K385" s="36"/>
      <c r="L385" s="36"/>
      <c r="M385" s="36"/>
    </row>
    <row r="386" spans="7:13" ht="15.75" customHeight="1">
      <c r="G386" s="11"/>
      <c r="K386" s="36"/>
      <c r="L386" s="36"/>
      <c r="M386" s="36"/>
    </row>
    <row r="387" spans="7:13" ht="15.75" customHeight="1">
      <c r="G387" s="11"/>
      <c r="K387" s="36"/>
      <c r="L387" s="36"/>
      <c r="M387" s="36"/>
    </row>
    <row r="388" spans="7:13" ht="15.75" customHeight="1">
      <c r="G388" s="11"/>
      <c r="K388" s="36"/>
      <c r="L388" s="36"/>
      <c r="M388" s="36"/>
    </row>
    <row r="389" spans="7:13" ht="15.75" customHeight="1">
      <c r="G389" s="11"/>
      <c r="K389" s="36"/>
      <c r="L389" s="36"/>
      <c r="M389" s="36"/>
    </row>
    <row r="390" spans="7:13" ht="15.75" customHeight="1">
      <c r="G390" s="11"/>
      <c r="K390" s="36"/>
      <c r="L390" s="36"/>
      <c r="M390" s="36"/>
    </row>
    <row r="391" spans="7:13" ht="15.75" customHeight="1">
      <c r="G391" s="11"/>
      <c r="K391" s="36"/>
      <c r="L391" s="36"/>
      <c r="M391" s="36"/>
    </row>
    <row r="392" spans="7:13" ht="15.75" customHeight="1">
      <c r="G392" s="11"/>
      <c r="K392" s="36"/>
      <c r="L392" s="36"/>
      <c r="M392" s="36"/>
    </row>
    <row r="393" spans="7:13" ht="15.75" customHeight="1">
      <c r="G393" s="11"/>
      <c r="K393" s="36"/>
      <c r="L393" s="36"/>
      <c r="M393" s="36"/>
    </row>
    <row r="394" spans="7:13" ht="15.75" customHeight="1">
      <c r="G394" s="11"/>
      <c r="K394" s="36"/>
      <c r="L394" s="36"/>
      <c r="M394" s="36"/>
    </row>
    <row r="395" spans="7:13" ht="15.75" customHeight="1">
      <c r="G395" s="11"/>
      <c r="K395" s="36"/>
      <c r="L395" s="36"/>
      <c r="M395" s="36"/>
    </row>
    <row r="396" spans="7:13" ht="15.75" customHeight="1">
      <c r="G396" s="11"/>
      <c r="K396" s="36"/>
      <c r="L396" s="36"/>
      <c r="M396" s="36"/>
    </row>
    <row r="397" spans="7:13" ht="15.75" customHeight="1">
      <c r="G397" s="11"/>
      <c r="K397" s="36"/>
      <c r="L397" s="36"/>
      <c r="M397" s="36"/>
    </row>
    <row r="398" spans="7:13" ht="15.75" customHeight="1">
      <c r="G398" s="11"/>
      <c r="K398" s="36"/>
      <c r="L398" s="36"/>
      <c r="M398" s="36"/>
    </row>
    <row r="399" spans="7:13" ht="15.75" customHeight="1">
      <c r="G399" s="11"/>
      <c r="K399" s="36"/>
      <c r="L399" s="36"/>
      <c r="M399" s="36"/>
    </row>
    <row r="400" spans="7:13" ht="15.75" customHeight="1">
      <c r="G400" s="11"/>
      <c r="K400" s="36"/>
      <c r="L400" s="36"/>
      <c r="M400" s="36"/>
    </row>
    <row r="401" spans="7:13" ht="15.75" customHeight="1">
      <c r="G401" s="11"/>
      <c r="K401" s="36"/>
      <c r="L401" s="36"/>
      <c r="M401" s="36"/>
    </row>
    <row r="402" spans="7:13" ht="15.75" customHeight="1">
      <c r="G402" s="11"/>
      <c r="K402" s="36"/>
      <c r="L402" s="36"/>
      <c r="M402" s="36"/>
    </row>
    <row r="403" spans="7:13" ht="15.75" customHeight="1">
      <c r="G403" s="11"/>
      <c r="K403" s="36"/>
      <c r="L403" s="36"/>
      <c r="M403" s="36"/>
    </row>
    <row r="404" spans="7:13" ht="15.75" customHeight="1">
      <c r="G404" s="11"/>
      <c r="K404" s="36"/>
      <c r="L404" s="36"/>
      <c r="M404" s="36"/>
    </row>
    <row r="405" spans="7:13" ht="15.75" customHeight="1">
      <c r="G405" s="11"/>
      <c r="K405" s="36"/>
      <c r="L405" s="36"/>
      <c r="M405" s="36"/>
    </row>
    <row r="406" spans="7:13" ht="15.75" customHeight="1">
      <c r="G406" s="11"/>
      <c r="K406" s="36"/>
      <c r="L406" s="36"/>
      <c r="M406" s="36"/>
    </row>
    <row r="407" spans="7:13" ht="15.75" customHeight="1">
      <c r="G407" s="11"/>
      <c r="K407" s="36"/>
      <c r="L407" s="36"/>
      <c r="M407" s="36"/>
    </row>
    <row r="408" spans="7:13" ht="15.75" customHeight="1">
      <c r="G408" s="11"/>
      <c r="K408" s="36"/>
      <c r="L408" s="36"/>
      <c r="M408" s="36"/>
    </row>
    <row r="409" spans="7:13" ht="15.75" customHeight="1">
      <c r="G409" s="11"/>
      <c r="K409" s="36"/>
      <c r="L409" s="36"/>
      <c r="M409" s="36"/>
    </row>
    <row r="410" spans="7:13" ht="15.75" customHeight="1">
      <c r="G410" s="11"/>
      <c r="K410" s="36"/>
      <c r="L410" s="36"/>
      <c r="M410" s="36"/>
    </row>
    <row r="411" spans="7:13" ht="15.75" customHeight="1">
      <c r="G411" s="11"/>
      <c r="K411" s="36"/>
      <c r="L411" s="36"/>
      <c r="M411" s="36"/>
    </row>
    <row r="412" spans="7:13" ht="15.75" customHeight="1">
      <c r="G412" s="11"/>
      <c r="K412" s="36"/>
      <c r="L412" s="36"/>
      <c r="M412" s="36"/>
    </row>
    <row r="413" spans="7:13" ht="15.75" customHeight="1">
      <c r="G413" s="11"/>
      <c r="K413" s="36"/>
      <c r="L413" s="36"/>
      <c r="M413" s="36"/>
    </row>
    <row r="414" spans="7:13" ht="15.75" customHeight="1">
      <c r="G414" s="11"/>
      <c r="K414" s="36"/>
      <c r="L414" s="36"/>
      <c r="M414" s="36"/>
    </row>
    <row r="415" spans="7:13" ht="15.75" customHeight="1">
      <c r="G415" s="11"/>
      <c r="K415" s="36"/>
      <c r="L415" s="36"/>
      <c r="M415" s="36"/>
    </row>
    <row r="416" spans="7:13" ht="15.75" customHeight="1">
      <c r="G416" s="11"/>
      <c r="K416" s="36"/>
      <c r="L416" s="36"/>
      <c r="M416" s="36"/>
    </row>
    <row r="417" spans="7:13" ht="15.75" customHeight="1">
      <c r="G417" s="11"/>
      <c r="K417" s="36"/>
      <c r="L417" s="36"/>
      <c r="M417" s="36"/>
    </row>
    <row r="418" spans="7:13" ht="15.75" customHeight="1">
      <c r="G418" s="11"/>
      <c r="K418" s="36"/>
      <c r="L418" s="36"/>
      <c r="M418" s="36"/>
    </row>
    <row r="419" spans="7:13" ht="15.75" customHeight="1">
      <c r="G419" s="11"/>
      <c r="K419" s="36"/>
      <c r="L419" s="36"/>
      <c r="M419" s="36"/>
    </row>
    <row r="420" spans="7:13" ht="15.75" customHeight="1">
      <c r="G420" s="11"/>
      <c r="K420" s="36"/>
      <c r="L420" s="36"/>
      <c r="M420" s="36"/>
    </row>
    <row r="421" spans="7:13" ht="15.75" customHeight="1">
      <c r="G421" s="11"/>
      <c r="K421" s="36"/>
      <c r="L421" s="36"/>
      <c r="M421" s="36"/>
    </row>
    <row r="422" spans="7:13" ht="15.75" customHeight="1">
      <c r="G422" s="11"/>
      <c r="K422" s="36"/>
      <c r="L422" s="36"/>
      <c r="M422" s="36"/>
    </row>
    <row r="423" spans="7:13" ht="15.75" customHeight="1">
      <c r="G423" s="11"/>
      <c r="K423" s="36"/>
      <c r="L423" s="36"/>
      <c r="M423" s="36"/>
    </row>
    <row r="424" spans="7:13" ht="15.75" customHeight="1">
      <c r="G424" s="11"/>
      <c r="K424" s="36"/>
      <c r="L424" s="36"/>
      <c r="M424" s="36"/>
    </row>
    <row r="425" spans="7:13" ht="15.75" customHeight="1">
      <c r="G425" s="11"/>
      <c r="K425" s="36"/>
      <c r="L425" s="36"/>
      <c r="M425" s="36"/>
    </row>
    <row r="426" spans="7:13" ht="15.75" customHeight="1">
      <c r="G426" s="11"/>
      <c r="K426" s="36"/>
      <c r="L426" s="36"/>
      <c r="M426" s="36"/>
    </row>
    <row r="427" spans="7:13" ht="15.75" customHeight="1">
      <c r="G427" s="11"/>
      <c r="K427" s="36"/>
      <c r="L427" s="36"/>
      <c r="M427" s="36"/>
    </row>
    <row r="428" spans="7:13" ht="15.75" customHeight="1">
      <c r="G428" s="11"/>
      <c r="K428" s="36"/>
      <c r="L428" s="36"/>
      <c r="M428" s="36"/>
    </row>
    <row r="429" spans="7:13" ht="15.75" customHeight="1">
      <c r="G429" s="11"/>
      <c r="K429" s="36"/>
      <c r="L429" s="36"/>
      <c r="M429" s="36"/>
    </row>
    <row r="430" spans="7:13" ht="15.75" customHeight="1">
      <c r="G430" s="11"/>
      <c r="K430" s="36"/>
      <c r="L430" s="36"/>
      <c r="M430" s="36"/>
    </row>
    <row r="431" spans="7:13" ht="15.75" customHeight="1">
      <c r="G431" s="11"/>
      <c r="K431" s="36"/>
      <c r="L431" s="36"/>
      <c r="M431" s="36"/>
    </row>
    <row r="432" spans="7:13" ht="15.75" customHeight="1">
      <c r="G432" s="11"/>
      <c r="K432" s="36"/>
      <c r="L432" s="36"/>
      <c r="M432" s="36"/>
    </row>
    <row r="433" spans="7:13" ht="15.75" customHeight="1">
      <c r="G433" s="11"/>
      <c r="K433" s="36"/>
      <c r="L433" s="36"/>
      <c r="M433" s="36"/>
    </row>
    <row r="434" spans="7:13" ht="15.75" customHeight="1">
      <c r="G434" s="11"/>
      <c r="K434" s="36"/>
      <c r="L434" s="36"/>
      <c r="M434" s="36"/>
    </row>
    <row r="435" spans="7:13" ht="15.75" customHeight="1">
      <c r="G435" s="11"/>
      <c r="K435" s="36"/>
      <c r="L435" s="36"/>
      <c r="M435" s="36"/>
    </row>
    <row r="436" spans="7:13" ht="15.75" customHeight="1">
      <c r="G436" s="11"/>
      <c r="K436" s="36"/>
      <c r="L436" s="36"/>
      <c r="M436" s="36"/>
    </row>
    <row r="437" spans="7:13" ht="15.75" customHeight="1">
      <c r="G437" s="11"/>
      <c r="K437" s="36"/>
      <c r="L437" s="36"/>
      <c r="M437" s="36"/>
    </row>
    <row r="438" spans="7:13" ht="15.75" customHeight="1">
      <c r="G438" s="11"/>
      <c r="K438" s="36"/>
      <c r="L438" s="36"/>
      <c r="M438" s="36"/>
    </row>
    <row r="439" spans="7:13" ht="15.75" customHeight="1">
      <c r="G439" s="11"/>
      <c r="K439" s="36"/>
      <c r="L439" s="36"/>
      <c r="M439" s="36"/>
    </row>
    <row r="440" spans="7:13" ht="15.75" customHeight="1">
      <c r="G440" s="11"/>
      <c r="K440" s="36"/>
      <c r="L440" s="36"/>
      <c r="M440" s="36"/>
    </row>
    <row r="441" spans="7:13" ht="15.75" customHeight="1">
      <c r="G441" s="11"/>
      <c r="K441" s="36"/>
      <c r="L441" s="36"/>
      <c r="M441" s="36"/>
    </row>
    <row r="442" spans="7:13" ht="15.75" customHeight="1">
      <c r="G442" s="11"/>
      <c r="K442" s="36"/>
      <c r="L442" s="36"/>
      <c r="M442" s="36"/>
    </row>
    <row r="443" spans="7:13" ht="15.75" customHeight="1">
      <c r="G443" s="11"/>
      <c r="K443" s="36"/>
      <c r="L443" s="36"/>
      <c r="M443" s="36"/>
    </row>
    <row r="444" spans="7:13" ht="15.75" customHeight="1">
      <c r="G444" s="11"/>
      <c r="K444" s="36"/>
      <c r="L444" s="36"/>
      <c r="M444" s="36"/>
    </row>
    <row r="445" spans="7:13" ht="15.75" customHeight="1">
      <c r="G445" s="11"/>
      <c r="K445" s="36"/>
      <c r="L445" s="36"/>
      <c r="M445" s="36"/>
    </row>
    <row r="446" spans="7:13" ht="15.75" customHeight="1">
      <c r="G446" s="11"/>
      <c r="K446" s="36"/>
      <c r="L446" s="36"/>
      <c r="M446" s="36"/>
    </row>
    <row r="447" spans="7:13" ht="15.75" customHeight="1">
      <c r="G447" s="11"/>
      <c r="K447" s="36"/>
      <c r="L447" s="36"/>
      <c r="M447" s="36"/>
    </row>
    <row r="448" spans="7:13" ht="15.75" customHeight="1">
      <c r="G448" s="11"/>
      <c r="K448" s="36"/>
      <c r="L448" s="36"/>
      <c r="M448" s="36"/>
    </row>
    <row r="449" spans="7:13" ht="15.75" customHeight="1">
      <c r="G449" s="11"/>
      <c r="K449" s="36"/>
      <c r="L449" s="36"/>
      <c r="M449" s="36"/>
    </row>
    <row r="450" spans="7:13" ht="15.75" customHeight="1">
      <c r="G450" s="11"/>
      <c r="K450" s="36"/>
      <c r="L450" s="36"/>
      <c r="M450" s="36"/>
    </row>
    <row r="451" spans="7:13" ht="15.75" customHeight="1">
      <c r="G451" s="11"/>
      <c r="K451" s="36"/>
      <c r="L451" s="36"/>
      <c r="M451" s="36"/>
    </row>
    <row r="452" spans="7:13" ht="15.75" customHeight="1">
      <c r="G452" s="11"/>
      <c r="K452" s="36"/>
      <c r="L452" s="36"/>
      <c r="M452" s="36"/>
    </row>
    <row r="453" spans="7:13" ht="15.75" customHeight="1">
      <c r="G453" s="11"/>
      <c r="K453" s="36"/>
      <c r="L453" s="36"/>
      <c r="M453" s="36"/>
    </row>
    <row r="454" spans="7:13" ht="15.75" customHeight="1">
      <c r="G454" s="11"/>
      <c r="K454" s="36"/>
      <c r="L454" s="36"/>
      <c r="M454" s="36"/>
    </row>
    <row r="455" spans="7:13" ht="15.75" customHeight="1">
      <c r="G455" s="11"/>
      <c r="K455" s="36"/>
      <c r="L455" s="36"/>
      <c r="M455" s="36"/>
    </row>
    <row r="456" spans="7:13" ht="15.75" customHeight="1">
      <c r="G456" s="11"/>
      <c r="K456" s="36"/>
      <c r="L456" s="36"/>
      <c r="M456" s="36"/>
    </row>
    <row r="457" spans="7:13" ht="15.75" customHeight="1">
      <c r="G457" s="11"/>
      <c r="K457" s="36"/>
      <c r="L457" s="36"/>
      <c r="M457" s="36"/>
    </row>
    <row r="458" spans="7:13" ht="15.75" customHeight="1">
      <c r="G458" s="11"/>
      <c r="K458" s="36"/>
      <c r="L458" s="36"/>
      <c r="M458" s="36"/>
    </row>
    <row r="459" spans="7:13" ht="15.75" customHeight="1">
      <c r="G459" s="11"/>
      <c r="K459" s="36"/>
      <c r="L459" s="36"/>
      <c r="M459" s="36"/>
    </row>
    <row r="460" spans="7:13" ht="15.75" customHeight="1">
      <c r="G460" s="11"/>
      <c r="K460" s="36"/>
      <c r="L460" s="36"/>
      <c r="M460" s="36"/>
    </row>
    <row r="461" spans="7:13" ht="15.75" customHeight="1">
      <c r="G461" s="11"/>
      <c r="K461" s="36"/>
      <c r="L461" s="36"/>
      <c r="M461" s="36"/>
    </row>
    <row r="462" spans="7:13" ht="15.75" customHeight="1">
      <c r="G462" s="11"/>
      <c r="K462" s="36"/>
      <c r="L462" s="36"/>
      <c r="M462" s="36"/>
    </row>
    <row r="463" spans="7:13" ht="15.75" customHeight="1">
      <c r="G463" s="11"/>
      <c r="K463" s="36"/>
      <c r="L463" s="36"/>
      <c r="M463" s="36"/>
    </row>
    <row r="464" spans="7:13" ht="15.75" customHeight="1">
      <c r="G464" s="11"/>
      <c r="K464" s="36"/>
      <c r="L464" s="36"/>
      <c r="M464" s="36"/>
    </row>
    <row r="465" spans="7:13" ht="15.75" customHeight="1">
      <c r="G465" s="11"/>
      <c r="K465" s="36"/>
      <c r="L465" s="36"/>
      <c r="M465" s="36"/>
    </row>
    <row r="466" spans="7:13" ht="15.75" customHeight="1">
      <c r="G466" s="11"/>
      <c r="K466" s="36"/>
      <c r="L466" s="36"/>
      <c r="M466" s="36"/>
    </row>
    <row r="467" spans="7:13" ht="15.75" customHeight="1">
      <c r="G467" s="11"/>
      <c r="K467" s="36"/>
      <c r="L467" s="36"/>
      <c r="M467" s="36"/>
    </row>
    <row r="468" spans="7:13" ht="15.75" customHeight="1">
      <c r="G468" s="11"/>
      <c r="K468" s="36"/>
      <c r="L468" s="36"/>
      <c r="M468" s="36"/>
    </row>
    <row r="469" spans="7:13" ht="15.75" customHeight="1">
      <c r="G469" s="11"/>
      <c r="K469" s="36"/>
      <c r="L469" s="36"/>
      <c r="M469" s="36"/>
    </row>
    <row r="470" spans="7:13" ht="15.75" customHeight="1">
      <c r="G470" s="11"/>
      <c r="K470" s="36"/>
      <c r="L470" s="36"/>
      <c r="M470" s="36"/>
    </row>
    <row r="471" spans="7:13" ht="15.75" customHeight="1">
      <c r="G471" s="11"/>
      <c r="K471" s="36"/>
      <c r="L471" s="36"/>
      <c r="M471" s="36"/>
    </row>
    <row r="472" spans="7:13" ht="15.75" customHeight="1">
      <c r="G472" s="11"/>
      <c r="K472" s="36"/>
      <c r="L472" s="36"/>
      <c r="M472" s="36"/>
    </row>
    <row r="473" spans="7:13" ht="15.75" customHeight="1">
      <c r="G473" s="11"/>
      <c r="K473" s="36"/>
      <c r="L473" s="36"/>
      <c r="M473" s="36"/>
    </row>
    <row r="474" spans="7:13" ht="15.75" customHeight="1">
      <c r="G474" s="11"/>
      <c r="K474" s="36"/>
      <c r="L474" s="36"/>
      <c r="M474" s="36"/>
    </row>
    <row r="475" spans="7:13" ht="15.75" customHeight="1">
      <c r="G475" s="11"/>
      <c r="K475" s="36"/>
      <c r="L475" s="36"/>
      <c r="M475" s="36"/>
    </row>
    <row r="476" spans="7:13" ht="15.75" customHeight="1">
      <c r="G476" s="11"/>
      <c r="K476" s="36"/>
      <c r="L476" s="36"/>
      <c r="M476" s="36"/>
    </row>
    <row r="477" spans="7:13" ht="15.75" customHeight="1">
      <c r="G477" s="11"/>
      <c r="K477" s="36"/>
      <c r="L477" s="36"/>
      <c r="M477" s="36"/>
    </row>
    <row r="478" spans="7:13" ht="15.75" customHeight="1">
      <c r="G478" s="11"/>
      <c r="K478" s="36"/>
      <c r="L478" s="36"/>
      <c r="M478" s="36"/>
    </row>
    <row r="479" spans="7:13" ht="15.75" customHeight="1">
      <c r="G479" s="11"/>
      <c r="K479" s="36"/>
      <c r="L479" s="36"/>
      <c r="M479" s="36"/>
    </row>
    <row r="480" spans="7:13" ht="15.75" customHeight="1">
      <c r="G480" s="11"/>
      <c r="K480" s="36"/>
      <c r="L480" s="36"/>
      <c r="M480" s="36"/>
    </row>
    <row r="481" spans="7:13" ht="15.75" customHeight="1">
      <c r="G481" s="11"/>
      <c r="K481" s="36"/>
      <c r="L481" s="36"/>
      <c r="M481" s="36"/>
    </row>
    <row r="482" spans="7:13" ht="15.75" customHeight="1">
      <c r="G482" s="11"/>
      <c r="K482" s="36"/>
      <c r="L482" s="36"/>
      <c r="M482" s="36"/>
    </row>
    <row r="483" spans="7:13" ht="15.75" customHeight="1">
      <c r="G483" s="11"/>
      <c r="K483" s="36"/>
      <c r="L483" s="36"/>
      <c r="M483" s="36"/>
    </row>
    <row r="484" spans="7:13" ht="15.75" customHeight="1">
      <c r="G484" s="11"/>
      <c r="K484" s="36"/>
      <c r="L484" s="36"/>
      <c r="M484" s="36"/>
    </row>
    <row r="485" spans="7:13" ht="15.75" customHeight="1">
      <c r="G485" s="11"/>
      <c r="K485" s="36"/>
      <c r="L485" s="36"/>
      <c r="M485" s="36"/>
    </row>
    <row r="486" spans="7:13" ht="15.75" customHeight="1">
      <c r="G486" s="11"/>
      <c r="K486" s="36"/>
      <c r="L486" s="36"/>
      <c r="M486" s="36"/>
    </row>
    <row r="487" spans="7:13" ht="15.75" customHeight="1">
      <c r="G487" s="11"/>
      <c r="K487" s="36"/>
      <c r="L487" s="36"/>
      <c r="M487" s="36"/>
    </row>
    <row r="488" spans="7:13" ht="15.75" customHeight="1">
      <c r="G488" s="11"/>
      <c r="K488" s="36"/>
      <c r="L488" s="36"/>
      <c r="M488" s="36"/>
    </row>
    <row r="489" spans="7:13" ht="15.75" customHeight="1">
      <c r="G489" s="11"/>
      <c r="K489" s="36"/>
      <c r="L489" s="36"/>
      <c r="M489" s="36"/>
    </row>
    <row r="490" spans="7:13" ht="15.75" customHeight="1">
      <c r="G490" s="11"/>
      <c r="K490" s="36"/>
      <c r="L490" s="36"/>
      <c r="M490" s="36"/>
    </row>
    <row r="491" spans="7:13" ht="15.75" customHeight="1">
      <c r="G491" s="11"/>
      <c r="K491" s="36"/>
      <c r="L491" s="36"/>
      <c r="M491" s="36"/>
    </row>
    <row r="492" spans="7:13" ht="15.75" customHeight="1">
      <c r="G492" s="11"/>
      <c r="K492" s="36"/>
      <c r="L492" s="36"/>
      <c r="M492" s="36"/>
    </row>
    <row r="493" spans="7:13" ht="15.75" customHeight="1">
      <c r="G493" s="11"/>
      <c r="K493" s="36"/>
      <c r="L493" s="36"/>
      <c r="M493" s="36"/>
    </row>
    <row r="494" spans="7:13" ht="15.75" customHeight="1">
      <c r="G494" s="11"/>
      <c r="K494" s="36"/>
      <c r="L494" s="36"/>
      <c r="M494" s="36"/>
    </row>
    <row r="495" spans="7:13" ht="15.75" customHeight="1">
      <c r="G495" s="11"/>
      <c r="K495" s="36"/>
      <c r="L495" s="36"/>
      <c r="M495" s="36"/>
    </row>
    <row r="496" spans="7:13" ht="15.75" customHeight="1">
      <c r="G496" s="11"/>
      <c r="K496" s="36"/>
      <c r="L496" s="36"/>
      <c r="M496" s="36"/>
    </row>
    <row r="497" spans="7:13" ht="15.75" customHeight="1">
      <c r="G497" s="11"/>
      <c r="K497" s="36"/>
      <c r="L497" s="36"/>
      <c r="M497" s="36"/>
    </row>
    <row r="498" spans="7:13" ht="15.75" customHeight="1">
      <c r="G498" s="11"/>
      <c r="K498" s="36"/>
      <c r="L498" s="36"/>
      <c r="M498" s="36"/>
    </row>
    <row r="499" spans="7:13" ht="15.75" customHeight="1">
      <c r="G499" s="11"/>
      <c r="K499" s="36"/>
      <c r="L499" s="36"/>
      <c r="M499" s="36"/>
    </row>
    <row r="500" spans="7:13" ht="15.75" customHeight="1">
      <c r="G500" s="11"/>
      <c r="K500" s="36"/>
      <c r="L500" s="36"/>
      <c r="M500" s="36"/>
    </row>
    <row r="501" spans="7:13" ht="15.75" customHeight="1">
      <c r="G501" s="11"/>
      <c r="K501" s="36"/>
      <c r="L501" s="36"/>
      <c r="M501" s="36"/>
    </row>
    <row r="502" spans="7:13" ht="15.75" customHeight="1">
      <c r="G502" s="11"/>
      <c r="K502" s="36"/>
      <c r="L502" s="36"/>
      <c r="M502" s="36"/>
    </row>
    <row r="503" spans="7:13" ht="15.75" customHeight="1">
      <c r="G503" s="11"/>
      <c r="K503" s="36"/>
      <c r="L503" s="36"/>
      <c r="M503" s="36"/>
    </row>
    <row r="504" spans="7:13" ht="15.75" customHeight="1">
      <c r="G504" s="11"/>
      <c r="K504" s="36"/>
      <c r="L504" s="36"/>
      <c r="M504" s="36"/>
    </row>
    <row r="505" spans="7:13" ht="15.75" customHeight="1">
      <c r="G505" s="11"/>
      <c r="K505" s="36"/>
      <c r="L505" s="36"/>
      <c r="M505" s="36"/>
    </row>
    <row r="506" spans="7:13" ht="15.75" customHeight="1">
      <c r="G506" s="11"/>
      <c r="K506" s="36"/>
      <c r="L506" s="36"/>
      <c r="M506" s="36"/>
    </row>
    <row r="507" spans="7:13" ht="15.75" customHeight="1">
      <c r="G507" s="11"/>
      <c r="K507" s="36"/>
      <c r="L507" s="36"/>
      <c r="M507" s="36"/>
    </row>
    <row r="508" spans="7:13" ht="15.75" customHeight="1">
      <c r="G508" s="11"/>
      <c r="K508" s="36"/>
      <c r="L508" s="36"/>
      <c r="M508" s="36"/>
    </row>
    <row r="509" spans="7:13" ht="15.75" customHeight="1">
      <c r="G509" s="11"/>
      <c r="K509" s="36"/>
      <c r="L509" s="36"/>
      <c r="M509" s="36"/>
    </row>
    <row r="510" spans="7:13" ht="15.75" customHeight="1">
      <c r="G510" s="11"/>
      <c r="K510" s="36"/>
      <c r="L510" s="36"/>
      <c r="M510" s="36"/>
    </row>
    <row r="511" spans="7:13" ht="15.75" customHeight="1">
      <c r="G511" s="11"/>
      <c r="K511" s="36"/>
      <c r="L511" s="36"/>
      <c r="M511" s="36"/>
    </row>
    <row r="512" spans="7:13" ht="15.75" customHeight="1">
      <c r="G512" s="11"/>
      <c r="K512" s="36"/>
      <c r="L512" s="36"/>
      <c r="M512" s="36"/>
    </row>
    <row r="513" spans="7:13" ht="15.75" customHeight="1">
      <c r="G513" s="11"/>
      <c r="K513" s="36"/>
      <c r="L513" s="36"/>
      <c r="M513" s="36"/>
    </row>
    <row r="514" spans="7:13" ht="15.75" customHeight="1">
      <c r="G514" s="11"/>
      <c r="K514" s="36"/>
      <c r="L514" s="36"/>
      <c r="M514" s="36"/>
    </row>
    <row r="515" spans="7:13" ht="15.75" customHeight="1">
      <c r="G515" s="11"/>
      <c r="K515" s="36"/>
      <c r="L515" s="36"/>
      <c r="M515" s="36"/>
    </row>
    <row r="516" spans="7:13" ht="15.75" customHeight="1">
      <c r="G516" s="11"/>
      <c r="K516" s="36"/>
      <c r="L516" s="36"/>
      <c r="M516" s="36"/>
    </row>
    <row r="517" spans="7:13" ht="15.75" customHeight="1">
      <c r="G517" s="11"/>
      <c r="K517" s="36"/>
      <c r="L517" s="36"/>
      <c r="M517" s="36"/>
    </row>
    <row r="518" spans="7:13" ht="15.75" customHeight="1">
      <c r="G518" s="11"/>
      <c r="K518" s="36"/>
      <c r="L518" s="36"/>
      <c r="M518" s="36"/>
    </row>
    <row r="519" spans="7:13" ht="15.75" customHeight="1">
      <c r="G519" s="11"/>
      <c r="K519" s="36"/>
      <c r="L519" s="36"/>
      <c r="M519" s="36"/>
    </row>
    <row r="520" spans="7:13" ht="15.75" customHeight="1">
      <c r="G520" s="11"/>
      <c r="K520" s="36"/>
      <c r="L520" s="36"/>
      <c r="M520" s="36"/>
    </row>
    <row r="521" spans="7:13" ht="15.75" customHeight="1">
      <c r="G521" s="11"/>
      <c r="K521" s="36"/>
      <c r="L521" s="36"/>
      <c r="M521" s="36"/>
    </row>
    <row r="522" spans="7:13" ht="15.75" customHeight="1">
      <c r="G522" s="11"/>
      <c r="K522" s="36"/>
      <c r="L522" s="36"/>
      <c r="M522" s="36"/>
    </row>
    <row r="523" spans="7:13" ht="15.75" customHeight="1">
      <c r="G523" s="11"/>
      <c r="K523" s="36"/>
      <c r="L523" s="36"/>
      <c r="M523" s="36"/>
    </row>
    <row r="524" spans="7:13" ht="15.75" customHeight="1">
      <c r="G524" s="11"/>
      <c r="K524" s="36"/>
      <c r="L524" s="36"/>
      <c r="M524" s="36"/>
    </row>
    <row r="525" spans="7:13" ht="15.75" customHeight="1">
      <c r="G525" s="11"/>
      <c r="K525" s="36"/>
      <c r="L525" s="36"/>
      <c r="M525" s="36"/>
    </row>
    <row r="526" spans="7:13" ht="15.75" customHeight="1">
      <c r="G526" s="11"/>
      <c r="K526" s="36"/>
      <c r="L526" s="36"/>
      <c r="M526" s="36"/>
    </row>
    <row r="527" spans="7:13" ht="15.75" customHeight="1">
      <c r="G527" s="11"/>
      <c r="K527" s="36"/>
      <c r="L527" s="36"/>
      <c r="M527" s="36"/>
    </row>
    <row r="528" spans="7:13" ht="15.75" customHeight="1">
      <c r="G528" s="11"/>
      <c r="K528" s="36"/>
      <c r="L528" s="36"/>
      <c r="M528" s="36"/>
    </row>
    <row r="529" spans="7:13" ht="15.75" customHeight="1">
      <c r="G529" s="11"/>
      <c r="K529" s="36"/>
      <c r="L529" s="36"/>
      <c r="M529" s="36"/>
    </row>
    <row r="530" spans="7:13" ht="15.75" customHeight="1">
      <c r="G530" s="11"/>
      <c r="K530" s="36"/>
      <c r="L530" s="36"/>
      <c r="M530" s="36"/>
    </row>
    <row r="531" spans="7:13" ht="15.75" customHeight="1">
      <c r="G531" s="11"/>
      <c r="K531" s="36"/>
      <c r="L531" s="36"/>
      <c r="M531" s="36"/>
    </row>
    <row r="532" spans="7:13" ht="15.75" customHeight="1">
      <c r="G532" s="11"/>
      <c r="K532" s="36"/>
      <c r="L532" s="36"/>
      <c r="M532" s="36"/>
    </row>
    <row r="533" spans="7:13" ht="15.75" customHeight="1">
      <c r="G533" s="11"/>
      <c r="K533" s="36"/>
      <c r="L533" s="36"/>
      <c r="M533" s="36"/>
    </row>
    <row r="534" spans="7:13" ht="15.75" customHeight="1">
      <c r="G534" s="11"/>
      <c r="K534" s="36"/>
      <c r="L534" s="36"/>
      <c r="M534" s="36"/>
    </row>
    <row r="535" spans="7:13" ht="15.75" customHeight="1">
      <c r="G535" s="11"/>
      <c r="K535" s="36"/>
      <c r="L535" s="36"/>
      <c r="M535" s="36"/>
    </row>
    <row r="536" spans="7:13" ht="15.75" customHeight="1">
      <c r="G536" s="11"/>
      <c r="K536" s="36"/>
      <c r="L536" s="36"/>
      <c r="M536" s="36"/>
    </row>
    <row r="537" spans="7:13" ht="15.75" customHeight="1">
      <c r="G537" s="11"/>
      <c r="K537" s="36"/>
      <c r="L537" s="36"/>
      <c r="M537" s="36"/>
    </row>
    <row r="538" spans="7:13" ht="15.75" customHeight="1">
      <c r="G538" s="11"/>
      <c r="K538" s="36"/>
      <c r="L538" s="36"/>
      <c r="M538" s="36"/>
    </row>
    <row r="539" spans="7:13" ht="15.75" customHeight="1">
      <c r="G539" s="11"/>
      <c r="K539" s="36"/>
      <c r="L539" s="36"/>
      <c r="M539" s="36"/>
    </row>
    <row r="540" spans="7:13" ht="15.75" customHeight="1">
      <c r="G540" s="11"/>
      <c r="K540" s="36"/>
      <c r="L540" s="36"/>
      <c r="M540" s="36"/>
    </row>
    <row r="541" spans="7:13" ht="15.75" customHeight="1">
      <c r="G541" s="11"/>
      <c r="K541" s="36"/>
      <c r="L541" s="36"/>
      <c r="M541" s="36"/>
    </row>
    <row r="542" spans="7:13" ht="15.75" customHeight="1">
      <c r="G542" s="11"/>
      <c r="K542" s="36"/>
      <c r="L542" s="36"/>
      <c r="M542" s="36"/>
    </row>
    <row r="543" spans="7:13" ht="15.75" customHeight="1">
      <c r="G543" s="11"/>
      <c r="K543" s="36"/>
      <c r="L543" s="36"/>
      <c r="M543" s="36"/>
    </row>
    <row r="544" spans="7:13" ht="15.75" customHeight="1">
      <c r="G544" s="11"/>
      <c r="K544" s="36"/>
      <c r="L544" s="36"/>
      <c r="M544" s="36"/>
    </row>
    <row r="545" spans="7:13" ht="15.75" customHeight="1">
      <c r="G545" s="11"/>
      <c r="K545" s="36"/>
      <c r="L545" s="36"/>
      <c r="M545" s="36"/>
    </row>
    <row r="546" spans="7:13" ht="15.75" customHeight="1">
      <c r="G546" s="11"/>
      <c r="K546" s="36"/>
      <c r="L546" s="36"/>
      <c r="M546" s="36"/>
    </row>
    <row r="547" spans="7:13" ht="15.75" customHeight="1">
      <c r="G547" s="11"/>
      <c r="K547" s="36"/>
      <c r="L547" s="36"/>
      <c r="M547" s="36"/>
    </row>
    <row r="548" spans="7:13" ht="15.75" customHeight="1">
      <c r="G548" s="11"/>
      <c r="K548" s="36"/>
      <c r="L548" s="36"/>
      <c r="M548" s="36"/>
    </row>
    <row r="549" spans="7:13" ht="15.75" customHeight="1">
      <c r="G549" s="11"/>
      <c r="K549" s="36"/>
      <c r="L549" s="36"/>
      <c r="M549" s="36"/>
    </row>
    <row r="550" spans="7:13" ht="15.75" customHeight="1">
      <c r="G550" s="11"/>
      <c r="K550" s="36"/>
      <c r="L550" s="36"/>
      <c r="M550" s="36"/>
    </row>
    <row r="551" spans="7:13" ht="15.75" customHeight="1">
      <c r="G551" s="11"/>
      <c r="K551" s="36"/>
      <c r="L551" s="36"/>
      <c r="M551" s="36"/>
    </row>
    <row r="552" spans="7:13" ht="15.75" customHeight="1">
      <c r="G552" s="11"/>
      <c r="K552" s="36"/>
      <c r="L552" s="36"/>
      <c r="M552" s="36"/>
    </row>
    <row r="553" spans="7:13" ht="15.75" customHeight="1">
      <c r="G553" s="11"/>
      <c r="K553" s="36"/>
      <c r="L553" s="36"/>
      <c r="M553" s="36"/>
    </row>
    <row r="554" spans="7:13" ht="15.75" customHeight="1">
      <c r="G554" s="11"/>
      <c r="K554" s="36"/>
      <c r="L554" s="36"/>
      <c r="M554" s="36"/>
    </row>
    <row r="555" spans="7:13" ht="15.75" customHeight="1">
      <c r="G555" s="11"/>
      <c r="K555" s="36"/>
      <c r="L555" s="36"/>
      <c r="M555" s="36"/>
    </row>
    <row r="556" spans="7:13" ht="15.75" customHeight="1">
      <c r="G556" s="11"/>
      <c r="K556" s="36"/>
      <c r="L556" s="36"/>
      <c r="M556" s="36"/>
    </row>
    <row r="557" spans="7:13" ht="15.75" customHeight="1">
      <c r="G557" s="11"/>
      <c r="K557" s="36"/>
      <c r="L557" s="36"/>
      <c r="M557" s="36"/>
    </row>
    <row r="558" spans="7:13" ht="15.75" customHeight="1">
      <c r="G558" s="11"/>
      <c r="K558" s="36"/>
      <c r="L558" s="36"/>
      <c r="M558" s="36"/>
    </row>
    <row r="559" spans="7:13" ht="15.75" customHeight="1">
      <c r="G559" s="11"/>
      <c r="K559" s="36"/>
      <c r="L559" s="36"/>
      <c r="M559" s="36"/>
    </row>
    <row r="560" spans="7:13" ht="15.75" customHeight="1">
      <c r="G560" s="11"/>
      <c r="K560" s="36"/>
      <c r="L560" s="36"/>
      <c r="M560" s="36"/>
    </row>
    <row r="561" spans="7:13" ht="15.75" customHeight="1">
      <c r="G561" s="11"/>
      <c r="K561" s="36"/>
      <c r="L561" s="36"/>
      <c r="M561" s="36"/>
    </row>
    <row r="562" spans="7:13" ht="15.75" customHeight="1">
      <c r="G562" s="11"/>
      <c r="K562" s="36"/>
      <c r="L562" s="36"/>
      <c r="M562" s="36"/>
    </row>
    <row r="563" spans="7:13" ht="15.75" customHeight="1">
      <c r="G563" s="11"/>
      <c r="K563" s="36"/>
      <c r="L563" s="36"/>
      <c r="M563" s="36"/>
    </row>
    <row r="564" spans="7:13" ht="15.75" customHeight="1">
      <c r="G564" s="11"/>
      <c r="K564" s="36"/>
      <c r="L564" s="36"/>
      <c r="M564" s="36"/>
    </row>
    <row r="565" spans="7:13" ht="15.75" customHeight="1">
      <c r="G565" s="11"/>
      <c r="K565" s="36"/>
      <c r="L565" s="36"/>
      <c r="M565" s="36"/>
    </row>
    <row r="566" spans="7:13" ht="15.75" customHeight="1">
      <c r="G566" s="11"/>
      <c r="K566" s="36"/>
      <c r="L566" s="36"/>
      <c r="M566" s="36"/>
    </row>
    <row r="567" spans="7:13" ht="15.75" customHeight="1">
      <c r="G567" s="11"/>
      <c r="K567" s="36"/>
      <c r="L567" s="36"/>
      <c r="M567" s="36"/>
    </row>
    <row r="568" spans="7:13" ht="15.75" customHeight="1">
      <c r="G568" s="11"/>
      <c r="K568" s="36"/>
      <c r="L568" s="36"/>
      <c r="M568" s="36"/>
    </row>
    <row r="569" spans="7:13" ht="15.75" customHeight="1">
      <c r="G569" s="11"/>
      <c r="K569" s="36"/>
      <c r="L569" s="36"/>
      <c r="M569" s="36"/>
    </row>
    <row r="570" spans="7:13" ht="15.75" customHeight="1">
      <c r="G570" s="11"/>
      <c r="K570" s="36"/>
      <c r="L570" s="36"/>
      <c r="M570" s="36"/>
    </row>
    <row r="571" spans="7:13" ht="15.75" customHeight="1">
      <c r="G571" s="11"/>
      <c r="K571" s="36"/>
      <c r="L571" s="36"/>
      <c r="M571" s="36"/>
    </row>
    <row r="572" spans="7:13" ht="15.75" customHeight="1">
      <c r="G572" s="11"/>
      <c r="K572" s="36"/>
      <c r="L572" s="36"/>
      <c r="M572" s="36"/>
    </row>
    <row r="573" spans="7:13" ht="15.75" customHeight="1">
      <c r="G573" s="11"/>
      <c r="K573" s="36"/>
      <c r="L573" s="36"/>
      <c r="M573" s="36"/>
    </row>
    <row r="574" spans="7:13" ht="15.75" customHeight="1">
      <c r="G574" s="11"/>
      <c r="K574" s="36"/>
      <c r="L574" s="36"/>
      <c r="M574" s="36"/>
    </row>
    <row r="575" spans="7:13" ht="15.75" customHeight="1">
      <c r="G575" s="11"/>
      <c r="K575" s="36"/>
      <c r="L575" s="36"/>
      <c r="M575" s="36"/>
    </row>
    <row r="576" spans="7:13" ht="15.75" customHeight="1">
      <c r="G576" s="11"/>
      <c r="K576" s="36"/>
      <c r="L576" s="36"/>
      <c r="M576" s="36"/>
    </row>
    <row r="577" spans="7:13" ht="15.75" customHeight="1">
      <c r="G577" s="11"/>
      <c r="K577" s="36"/>
      <c r="L577" s="36"/>
      <c r="M577" s="36"/>
    </row>
    <row r="578" spans="7:13" ht="15.75" customHeight="1">
      <c r="G578" s="11"/>
      <c r="K578" s="36"/>
      <c r="L578" s="36"/>
      <c r="M578" s="36"/>
    </row>
    <row r="579" spans="7:13" ht="15.75" customHeight="1">
      <c r="G579" s="11"/>
      <c r="K579" s="36"/>
      <c r="L579" s="36"/>
      <c r="M579" s="36"/>
    </row>
    <row r="580" spans="7:13" ht="15.75" customHeight="1">
      <c r="G580" s="11"/>
      <c r="K580" s="36"/>
      <c r="L580" s="36"/>
      <c r="M580" s="36"/>
    </row>
    <row r="581" spans="7:13" ht="15.75" customHeight="1">
      <c r="G581" s="11"/>
      <c r="K581" s="36"/>
      <c r="L581" s="36"/>
      <c r="M581" s="36"/>
    </row>
    <row r="582" spans="7:13" ht="15.75" customHeight="1">
      <c r="G582" s="11"/>
      <c r="K582" s="36"/>
      <c r="L582" s="36"/>
      <c r="M582" s="36"/>
    </row>
    <row r="583" spans="7:13" ht="15.75" customHeight="1">
      <c r="G583" s="11"/>
      <c r="K583" s="36"/>
      <c r="L583" s="36"/>
      <c r="M583" s="36"/>
    </row>
    <row r="584" spans="7:13" ht="15.75" customHeight="1">
      <c r="G584" s="11"/>
      <c r="K584" s="36"/>
      <c r="L584" s="36"/>
      <c r="M584" s="36"/>
    </row>
    <row r="585" spans="7:13" ht="15.75" customHeight="1">
      <c r="G585" s="11"/>
      <c r="K585" s="36"/>
      <c r="L585" s="36"/>
      <c r="M585" s="36"/>
    </row>
    <row r="586" spans="7:13" ht="15.75" customHeight="1">
      <c r="G586" s="11"/>
      <c r="K586" s="36"/>
      <c r="L586" s="36"/>
      <c r="M586" s="36"/>
    </row>
    <row r="587" spans="7:13" ht="15.75" customHeight="1">
      <c r="G587" s="11"/>
      <c r="K587" s="36"/>
      <c r="L587" s="36"/>
      <c r="M587" s="36"/>
    </row>
    <row r="588" spans="7:13" ht="15.75" customHeight="1">
      <c r="G588" s="11"/>
      <c r="K588" s="36"/>
      <c r="L588" s="36"/>
      <c r="M588" s="36"/>
    </row>
    <row r="589" spans="7:13" ht="15.75" customHeight="1">
      <c r="G589" s="11"/>
      <c r="K589" s="36"/>
      <c r="L589" s="36"/>
      <c r="M589" s="36"/>
    </row>
    <row r="590" spans="7:13" ht="15.75" customHeight="1">
      <c r="G590" s="11"/>
      <c r="K590" s="36"/>
      <c r="L590" s="36"/>
      <c r="M590" s="36"/>
    </row>
    <row r="591" spans="7:13" ht="15.75" customHeight="1">
      <c r="G591" s="11"/>
      <c r="K591" s="36"/>
      <c r="L591" s="36"/>
      <c r="M591" s="36"/>
    </row>
    <row r="592" spans="7:13" ht="15.75" customHeight="1">
      <c r="G592" s="11"/>
      <c r="K592" s="36"/>
      <c r="L592" s="36"/>
      <c r="M592" s="36"/>
    </row>
    <row r="593" spans="7:13" ht="15.75" customHeight="1">
      <c r="G593" s="11"/>
      <c r="K593" s="36"/>
      <c r="L593" s="36"/>
      <c r="M593" s="36"/>
    </row>
    <row r="594" spans="7:13" ht="15.75" customHeight="1">
      <c r="G594" s="11"/>
      <c r="K594" s="36"/>
      <c r="L594" s="36"/>
      <c r="M594" s="36"/>
    </row>
    <row r="595" spans="7:13" ht="15.75" customHeight="1">
      <c r="G595" s="11"/>
      <c r="K595" s="36"/>
      <c r="L595" s="36"/>
      <c r="M595" s="36"/>
    </row>
    <row r="596" spans="7:13" ht="15.75" customHeight="1">
      <c r="G596" s="11"/>
      <c r="K596" s="36"/>
      <c r="L596" s="36"/>
      <c r="M596" s="36"/>
    </row>
    <row r="597" spans="7:13" ht="15.75" customHeight="1">
      <c r="G597" s="11"/>
      <c r="K597" s="36"/>
      <c r="L597" s="36"/>
      <c r="M597" s="36"/>
    </row>
    <row r="598" spans="7:13" ht="15.75" customHeight="1">
      <c r="G598" s="11"/>
      <c r="K598" s="36"/>
      <c r="L598" s="36"/>
      <c r="M598" s="36"/>
    </row>
    <row r="599" spans="7:13" ht="15.75" customHeight="1">
      <c r="G599" s="11"/>
      <c r="K599" s="36"/>
      <c r="L599" s="36"/>
      <c r="M599" s="36"/>
    </row>
    <row r="600" spans="7:13" ht="15.75" customHeight="1">
      <c r="G600" s="11"/>
      <c r="K600" s="36"/>
      <c r="L600" s="36"/>
      <c r="M600" s="36"/>
    </row>
    <row r="601" spans="7:13" ht="15.75" customHeight="1">
      <c r="G601" s="11"/>
      <c r="K601" s="36"/>
      <c r="L601" s="36"/>
      <c r="M601" s="36"/>
    </row>
    <row r="602" spans="7:13" ht="15.75" customHeight="1">
      <c r="G602" s="11"/>
      <c r="K602" s="36"/>
      <c r="L602" s="36"/>
      <c r="M602" s="36"/>
    </row>
    <row r="603" spans="7:13" ht="15.75" customHeight="1">
      <c r="G603" s="11"/>
      <c r="K603" s="36"/>
      <c r="L603" s="36"/>
      <c r="M603" s="36"/>
    </row>
    <row r="604" spans="7:13" ht="15.75" customHeight="1">
      <c r="G604" s="11"/>
      <c r="K604" s="36"/>
      <c r="L604" s="36"/>
      <c r="M604" s="36"/>
    </row>
    <row r="605" spans="7:13" ht="15.75" customHeight="1">
      <c r="G605" s="11"/>
      <c r="K605" s="36"/>
      <c r="L605" s="36"/>
      <c r="M605" s="36"/>
    </row>
    <row r="606" spans="7:13" ht="15.75" customHeight="1">
      <c r="G606" s="11"/>
      <c r="K606" s="36"/>
      <c r="L606" s="36"/>
      <c r="M606" s="36"/>
    </row>
    <row r="607" spans="7:13" ht="15.75" customHeight="1">
      <c r="G607" s="11"/>
      <c r="K607" s="36"/>
      <c r="L607" s="36"/>
      <c r="M607" s="36"/>
    </row>
    <row r="608" spans="7:13" ht="15.75" customHeight="1">
      <c r="G608" s="11"/>
      <c r="K608" s="36"/>
      <c r="L608" s="36"/>
      <c r="M608" s="36"/>
    </row>
    <row r="609" spans="7:13" ht="15.75" customHeight="1">
      <c r="G609" s="11"/>
      <c r="K609" s="36"/>
      <c r="L609" s="36"/>
      <c r="M609" s="36"/>
    </row>
    <row r="610" spans="7:13" ht="15.75" customHeight="1">
      <c r="G610" s="11"/>
      <c r="K610" s="36"/>
      <c r="L610" s="36"/>
      <c r="M610" s="36"/>
    </row>
    <row r="611" spans="7:13" ht="15.75" customHeight="1">
      <c r="G611" s="11"/>
      <c r="K611" s="36"/>
      <c r="L611" s="36"/>
      <c r="M611" s="36"/>
    </row>
    <row r="612" spans="7:13" ht="15.75" customHeight="1">
      <c r="G612" s="11"/>
      <c r="K612" s="36"/>
      <c r="L612" s="36"/>
      <c r="M612" s="36"/>
    </row>
    <row r="613" spans="7:13" ht="15.75" customHeight="1">
      <c r="G613" s="11"/>
      <c r="K613" s="36"/>
      <c r="L613" s="36"/>
      <c r="M613" s="36"/>
    </row>
    <row r="614" spans="7:13" ht="15.75" customHeight="1">
      <c r="G614" s="11"/>
      <c r="K614" s="36"/>
      <c r="L614" s="36"/>
      <c r="M614" s="36"/>
    </row>
    <row r="615" spans="7:13" ht="15.75" customHeight="1">
      <c r="G615" s="11"/>
      <c r="K615" s="36"/>
      <c r="L615" s="36"/>
      <c r="M615" s="36"/>
    </row>
    <row r="616" spans="7:13" ht="15.75" customHeight="1">
      <c r="G616" s="11"/>
      <c r="K616" s="36"/>
      <c r="L616" s="36"/>
      <c r="M616" s="36"/>
    </row>
    <row r="617" spans="7:13" ht="15.75" customHeight="1">
      <c r="G617" s="11"/>
      <c r="K617" s="36"/>
      <c r="L617" s="36"/>
      <c r="M617" s="36"/>
    </row>
    <row r="618" spans="7:13" ht="15.75" customHeight="1">
      <c r="G618" s="11"/>
      <c r="K618" s="36"/>
      <c r="L618" s="36"/>
      <c r="M618" s="36"/>
    </row>
    <row r="619" spans="7:13" ht="15.75" customHeight="1">
      <c r="G619" s="11"/>
      <c r="K619" s="36"/>
      <c r="L619" s="36"/>
      <c r="M619" s="36"/>
    </row>
    <row r="620" spans="7:13" ht="15.75" customHeight="1">
      <c r="G620" s="11"/>
      <c r="K620" s="36"/>
      <c r="L620" s="36"/>
      <c r="M620" s="36"/>
    </row>
    <row r="621" spans="7:13" ht="15.75" customHeight="1">
      <c r="G621" s="11"/>
      <c r="K621" s="36"/>
      <c r="L621" s="36"/>
      <c r="M621" s="36"/>
    </row>
    <row r="622" spans="7:13" ht="15.75" customHeight="1">
      <c r="G622" s="11"/>
      <c r="K622" s="36"/>
      <c r="L622" s="36"/>
      <c r="M622" s="36"/>
    </row>
    <row r="623" spans="7:13" ht="15.75" customHeight="1">
      <c r="G623" s="11"/>
      <c r="K623" s="36"/>
      <c r="L623" s="36"/>
      <c r="M623" s="36"/>
    </row>
    <row r="624" spans="7:13" ht="15.75" customHeight="1">
      <c r="G624" s="11"/>
      <c r="K624" s="36"/>
      <c r="L624" s="36"/>
      <c r="M624" s="36"/>
    </row>
    <row r="625" spans="7:13" ht="15.75" customHeight="1">
      <c r="G625" s="11"/>
      <c r="K625" s="36"/>
      <c r="L625" s="36"/>
      <c r="M625" s="36"/>
    </row>
    <row r="626" spans="7:13" ht="15.75" customHeight="1">
      <c r="G626" s="11"/>
      <c r="K626" s="36"/>
      <c r="L626" s="36"/>
      <c r="M626" s="36"/>
    </row>
    <row r="627" spans="7:13" ht="15.75" customHeight="1">
      <c r="G627" s="11"/>
      <c r="K627" s="36"/>
      <c r="L627" s="36"/>
      <c r="M627" s="36"/>
    </row>
    <row r="628" spans="7:13" ht="15.75" customHeight="1">
      <c r="G628" s="11"/>
      <c r="K628" s="36"/>
      <c r="L628" s="36"/>
      <c r="M628" s="36"/>
    </row>
    <row r="629" spans="7:13" ht="15.75" customHeight="1">
      <c r="G629" s="11"/>
      <c r="K629" s="36"/>
      <c r="L629" s="36"/>
      <c r="M629" s="36"/>
    </row>
    <row r="630" spans="7:13" ht="15.75" customHeight="1">
      <c r="G630" s="11"/>
      <c r="K630" s="36"/>
      <c r="L630" s="36"/>
      <c r="M630" s="36"/>
    </row>
    <row r="631" spans="7:13" ht="15.75" customHeight="1">
      <c r="G631" s="11"/>
      <c r="K631" s="36"/>
      <c r="L631" s="36"/>
      <c r="M631" s="36"/>
    </row>
    <row r="632" spans="7:13" ht="15.75" customHeight="1">
      <c r="G632" s="11"/>
      <c r="K632" s="36"/>
      <c r="L632" s="36"/>
      <c r="M632" s="36"/>
    </row>
    <row r="633" spans="7:13" ht="15.75" customHeight="1">
      <c r="G633" s="11"/>
      <c r="K633" s="36"/>
      <c r="L633" s="36"/>
      <c r="M633" s="36"/>
    </row>
    <row r="634" spans="7:13" ht="15.75" customHeight="1">
      <c r="G634" s="11"/>
      <c r="K634" s="36"/>
      <c r="L634" s="36"/>
      <c r="M634" s="36"/>
    </row>
    <row r="635" spans="7:13" ht="15.75" customHeight="1">
      <c r="G635" s="11"/>
      <c r="K635" s="36"/>
      <c r="L635" s="36"/>
      <c r="M635" s="36"/>
    </row>
    <row r="636" spans="7:13" ht="15.75" customHeight="1">
      <c r="G636" s="11"/>
      <c r="K636" s="36"/>
      <c r="L636" s="36"/>
      <c r="M636" s="36"/>
    </row>
    <row r="637" spans="7:13" ht="15.75" customHeight="1">
      <c r="G637" s="11"/>
      <c r="K637" s="36"/>
      <c r="L637" s="36"/>
      <c r="M637" s="36"/>
    </row>
    <row r="638" spans="7:13" ht="15.75" customHeight="1">
      <c r="G638" s="11"/>
      <c r="K638" s="36"/>
      <c r="L638" s="36"/>
      <c r="M638" s="36"/>
    </row>
    <row r="639" spans="7:13" ht="15.75" customHeight="1">
      <c r="G639" s="11"/>
      <c r="K639" s="36"/>
      <c r="L639" s="36"/>
      <c r="M639" s="36"/>
    </row>
    <row r="640" spans="7:13" ht="15.75" customHeight="1">
      <c r="G640" s="11"/>
      <c r="K640" s="36"/>
      <c r="L640" s="36"/>
      <c r="M640" s="36"/>
    </row>
    <row r="641" spans="7:13" ht="15.75" customHeight="1">
      <c r="G641" s="11"/>
      <c r="K641" s="36"/>
      <c r="L641" s="36"/>
      <c r="M641" s="36"/>
    </row>
    <row r="642" spans="7:13" ht="15.75" customHeight="1">
      <c r="G642" s="11"/>
      <c r="K642" s="36"/>
      <c r="L642" s="36"/>
      <c r="M642" s="36"/>
    </row>
    <row r="643" spans="7:13" ht="15.75" customHeight="1">
      <c r="G643" s="11"/>
      <c r="K643" s="36"/>
      <c r="L643" s="36"/>
      <c r="M643" s="36"/>
    </row>
    <row r="644" spans="7:13" ht="15.75" customHeight="1">
      <c r="G644" s="11"/>
      <c r="K644" s="36"/>
      <c r="L644" s="36"/>
      <c r="M644" s="36"/>
    </row>
    <row r="645" spans="7:13" ht="15.75" customHeight="1">
      <c r="G645" s="11"/>
      <c r="K645" s="36"/>
      <c r="L645" s="36"/>
      <c r="M645" s="36"/>
    </row>
    <row r="646" spans="7:13" ht="15.75" customHeight="1">
      <c r="G646" s="11"/>
      <c r="K646" s="36"/>
      <c r="L646" s="36"/>
      <c r="M646" s="36"/>
    </row>
    <row r="647" spans="7:13" ht="15.75" customHeight="1">
      <c r="G647" s="11"/>
      <c r="K647" s="36"/>
      <c r="L647" s="36"/>
      <c r="M647" s="36"/>
    </row>
    <row r="648" spans="7:13" ht="15.75" customHeight="1">
      <c r="G648" s="11"/>
      <c r="K648" s="36"/>
      <c r="L648" s="36"/>
      <c r="M648" s="36"/>
    </row>
    <row r="649" spans="7:13" ht="15.75" customHeight="1">
      <c r="G649" s="11"/>
      <c r="K649" s="36"/>
      <c r="L649" s="36"/>
      <c r="M649" s="36"/>
    </row>
    <row r="650" spans="7:13" ht="15.75" customHeight="1">
      <c r="G650" s="11"/>
      <c r="K650" s="36"/>
      <c r="L650" s="36"/>
      <c r="M650" s="36"/>
    </row>
    <row r="651" spans="7:13" ht="15.75" customHeight="1">
      <c r="G651" s="11"/>
      <c r="K651" s="36"/>
      <c r="L651" s="36"/>
      <c r="M651" s="36"/>
    </row>
    <row r="652" spans="7:13" ht="15.75" customHeight="1">
      <c r="G652" s="11"/>
      <c r="K652" s="36"/>
      <c r="L652" s="36"/>
      <c r="M652" s="36"/>
    </row>
    <row r="653" spans="7:13" ht="15.75" customHeight="1">
      <c r="G653" s="11"/>
      <c r="K653" s="36"/>
      <c r="L653" s="36"/>
      <c r="M653" s="36"/>
    </row>
    <row r="654" spans="7:13" ht="15.75" customHeight="1">
      <c r="G654" s="11"/>
      <c r="K654" s="36"/>
      <c r="L654" s="36"/>
      <c r="M654" s="36"/>
    </row>
    <row r="655" spans="7:13" ht="15.75" customHeight="1">
      <c r="G655" s="11"/>
      <c r="K655" s="36"/>
      <c r="L655" s="36"/>
      <c r="M655" s="36"/>
    </row>
    <row r="656" spans="7:13" ht="15.75" customHeight="1">
      <c r="G656" s="11"/>
      <c r="K656" s="36"/>
      <c r="L656" s="36"/>
      <c r="M656" s="36"/>
    </row>
    <row r="657" spans="7:13" ht="15.75" customHeight="1">
      <c r="G657" s="11"/>
      <c r="K657" s="36"/>
      <c r="L657" s="36"/>
      <c r="M657" s="36"/>
    </row>
    <row r="658" spans="7:13" ht="15.75" customHeight="1">
      <c r="G658" s="11"/>
      <c r="K658" s="36"/>
      <c r="L658" s="36"/>
      <c r="M658" s="36"/>
    </row>
    <row r="659" spans="7:13" ht="15.75" customHeight="1">
      <c r="G659" s="11"/>
      <c r="K659" s="36"/>
      <c r="L659" s="36"/>
      <c r="M659" s="36"/>
    </row>
    <row r="660" spans="7:13" ht="15.75" customHeight="1">
      <c r="G660" s="11"/>
      <c r="K660" s="36"/>
      <c r="L660" s="36"/>
      <c r="M660" s="36"/>
    </row>
    <row r="661" spans="7:13" ht="15.75" customHeight="1">
      <c r="G661" s="11"/>
      <c r="K661" s="36"/>
      <c r="L661" s="36"/>
      <c r="M661" s="36"/>
    </row>
    <row r="662" spans="7:13" ht="15.75" customHeight="1">
      <c r="G662" s="11"/>
      <c r="K662" s="36"/>
      <c r="L662" s="36"/>
      <c r="M662" s="36"/>
    </row>
    <row r="663" spans="7:13" ht="15.75" customHeight="1">
      <c r="G663" s="11"/>
      <c r="K663" s="36"/>
      <c r="L663" s="36"/>
      <c r="M663" s="36"/>
    </row>
    <row r="664" spans="7:13" ht="15.75" customHeight="1">
      <c r="G664" s="11"/>
      <c r="K664" s="36"/>
      <c r="L664" s="36"/>
      <c r="M664" s="36"/>
    </row>
    <row r="665" spans="7:13" ht="15.75" customHeight="1">
      <c r="G665" s="11"/>
      <c r="K665" s="36"/>
      <c r="L665" s="36"/>
      <c r="M665" s="36"/>
    </row>
    <row r="666" spans="7:13" ht="15.75" customHeight="1">
      <c r="G666" s="11"/>
      <c r="K666" s="36"/>
      <c r="L666" s="36"/>
      <c r="M666" s="36"/>
    </row>
    <row r="667" spans="7:13" ht="15.75" customHeight="1">
      <c r="G667" s="11"/>
      <c r="K667" s="36"/>
      <c r="L667" s="36"/>
      <c r="M667" s="36"/>
    </row>
    <row r="668" spans="7:13" ht="15.75" customHeight="1">
      <c r="G668" s="11"/>
      <c r="K668" s="36"/>
      <c r="L668" s="36"/>
      <c r="M668" s="36"/>
    </row>
    <row r="669" spans="7:13" ht="15.75" customHeight="1">
      <c r="G669" s="11"/>
      <c r="K669" s="36"/>
      <c r="L669" s="36"/>
      <c r="M669" s="36"/>
    </row>
    <row r="670" spans="7:13" ht="15.75" customHeight="1">
      <c r="G670" s="11"/>
      <c r="K670" s="36"/>
      <c r="L670" s="36"/>
      <c r="M670" s="36"/>
    </row>
    <row r="671" spans="7:13" ht="15.75" customHeight="1">
      <c r="G671" s="11"/>
      <c r="K671" s="36"/>
      <c r="L671" s="36"/>
      <c r="M671" s="36"/>
    </row>
    <row r="672" spans="7:13" ht="15.75" customHeight="1">
      <c r="G672" s="11"/>
      <c r="K672" s="36"/>
      <c r="L672" s="36"/>
      <c r="M672" s="36"/>
    </row>
    <row r="673" spans="7:13" ht="15.75" customHeight="1">
      <c r="G673" s="11"/>
      <c r="K673" s="36"/>
      <c r="L673" s="36"/>
      <c r="M673" s="36"/>
    </row>
    <row r="674" spans="7:13" ht="15.75" customHeight="1">
      <c r="G674" s="11"/>
      <c r="K674" s="36"/>
      <c r="L674" s="36"/>
      <c r="M674" s="36"/>
    </row>
    <row r="675" spans="7:13" ht="15.75" customHeight="1">
      <c r="G675" s="11"/>
      <c r="K675" s="36"/>
      <c r="L675" s="36"/>
      <c r="M675" s="36"/>
    </row>
    <row r="676" spans="7:13" ht="15.75" customHeight="1">
      <c r="G676" s="11"/>
      <c r="K676" s="36"/>
      <c r="L676" s="36"/>
      <c r="M676" s="36"/>
    </row>
    <row r="677" spans="7:13" ht="15.75" customHeight="1">
      <c r="G677" s="11"/>
      <c r="K677" s="36"/>
      <c r="L677" s="36"/>
      <c r="M677" s="36"/>
    </row>
    <row r="678" spans="7:13" ht="15.75" customHeight="1">
      <c r="G678" s="11"/>
      <c r="K678" s="36"/>
      <c r="L678" s="36"/>
      <c r="M678" s="36"/>
    </row>
    <row r="679" spans="7:13" ht="15.75" customHeight="1">
      <c r="G679" s="11"/>
      <c r="K679" s="36"/>
      <c r="L679" s="36"/>
      <c r="M679" s="36"/>
    </row>
    <row r="680" spans="7:13" ht="15.75" customHeight="1">
      <c r="G680" s="11"/>
      <c r="K680" s="36"/>
      <c r="L680" s="36"/>
      <c r="M680" s="36"/>
    </row>
    <row r="681" spans="7:13" ht="15.75" customHeight="1">
      <c r="G681" s="11"/>
      <c r="K681" s="36"/>
      <c r="L681" s="36"/>
      <c r="M681" s="36"/>
    </row>
    <row r="682" spans="7:13" ht="15.75" customHeight="1">
      <c r="G682" s="11"/>
      <c r="K682" s="36"/>
      <c r="L682" s="36"/>
      <c r="M682" s="36"/>
    </row>
    <row r="683" spans="7:13" ht="15.75" customHeight="1">
      <c r="G683" s="11"/>
      <c r="K683" s="36"/>
      <c r="L683" s="36"/>
      <c r="M683" s="36"/>
    </row>
    <row r="684" spans="7:13" ht="15.75" customHeight="1">
      <c r="G684" s="11"/>
      <c r="K684" s="36"/>
      <c r="L684" s="36"/>
      <c r="M684" s="36"/>
    </row>
    <row r="685" spans="7:13" ht="15.75" customHeight="1">
      <c r="G685" s="11"/>
      <c r="K685" s="36"/>
      <c r="L685" s="36"/>
      <c r="M685" s="36"/>
    </row>
    <row r="686" spans="7:13" ht="15.75" customHeight="1">
      <c r="G686" s="11"/>
      <c r="K686" s="36"/>
      <c r="L686" s="36"/>
      <c r="M686" s="36"/>
    </row>
    <row r="687" spans="7:13" ht="15.75" customHeight="1">
      <c r="G687" s="11"/>
      <c r="K687" s="36"/>
      <c r="L687" s="36"/>
      <c r="M687" s="36"/>
    </row>
    <row r="688" spans="7:13" ht="15.75" customHeight="1">
      <c r="G688" s="11"/>
      <c r="K688" s="36"/>
      <c r="L688" s="36"/>
      <c r="M688" s="36"/>
    </row>
    <row r="689" spans="7:13" ht="15.75" customHeight="1">
      <c r="G689" s="11"/>
      <c r="K689" s="36"/>
      <c r="L689" s="36"/>
      <c r="M689" s="36"/>
    </row>
    <row r="690" spans="7:13" ht="15.75" customHeight="1">
      <c r="G690" s="11"/>
      <c r="K690" s="36"/>
      <c r="L690" s="36"/>
      <c r="M690" s="36"/>
    </row>
    <row r="691" spans="7:13" ht="15.75" customHeight="1">
      <c r="G691" s="11"/>
      <c r="K691" s="36"/>
      <c r="L691" s="36"/>
      <c r="M691" s="36"/>
    </row>
    <row r="692" spans="7:13" ht="15.75" customHeight="1">
      <c r="G692" s="11"/>
      <c r="K692" s="36"/>
      <c r="L692" s="36"/>
      <c r="M692" s="36"/>
    </row>
    <row r="693" spans="7:13" ht="15.75" customHeight="1">
      <c r="G693" s="11"/>
      <c r="K693" s="36"/>
      <c r="L693" s="36"/>
      <c r="M693" s="36"/>
    </row>
    <row r="694" spans="7:13" ht="15.75" customHeight="1">
      <c r="G694" s="11"/>
      <c r="K694" s="36"/>
      <c r="L694" s="36"/>
      <c r="M694" s="36"/>
    </row>
    <row r="695" spans="7:13" ht="15.75" customHeight="1">
      <c r="G695" s="11"/>
      <c r="K695" s="36"/>
      <c r="L695" s="36"/>
      <c r="M695" s="36"/>
    </row>
    <row r="696" spans="7:13" ht="15.75" customHeight="1">
      <c r="G696" s="11"/>
      <c r="K696" s="36"/>
      <c r="L696" s="36"/>
      <c r="M696" s="36"/>
    </row>
    <row r="697" spans="7:13" ht="15.75" customHeight="1">
      <c r="G697" s="11"/>
      <c r="K697" s="36"/>
      <c r="L697" s="36"/>
      <c r="M697" s="36"/>
    </row>
    <row r="698" spans="7:13" ht="15.75" customHeight="1">
      <c r="G698" s="11"/>
      <c r="K698" s="36"/>
      <c r="L698" s="36"/>
      <c r="M698" s="36"/>
    </row>
    <row r="699" spans="7:13" ht="15.75" customHeight="1">
      <c r="G699" s="11"/>
      <c r="K699" s="36"/>
      <c r="L699" s="36"/>
      <c r="M699" s="36"/>
    </row>
    <row r="700" spans="7:13" ht="15.75" customHeight="1">
      <c r="G700" s="11"/>
      <c r="K700" s="36"/>
      <c r="L700" s="36"/>
      <c r="M700" s="36"/>
    </row>
    <row r="701" spans="7:13" ht="15.75" customHeight="1">
      <c r="G701" s="11"/>
      <c r="K701" s="36"/>
      <c r="L701" s="36"/>
      <c r="M701" s="36"/>
    </row>
    <row r="702" spans="7:13" ht="15.75" customHeight="1">
      <c r="G702" s="11"/>
      <c r="K702" s="36"/>
      <c r="L702" s="36"/>
      <c r="M702" s="36"/>
    </row>
    <row r="703" spans="7:13" ht="15.75" customHeight="1">
      <c r="G703" s="11"/>
      <c r="K703" s="36"/>
      <c r="L703" s="36"/>
      <c r="M703" s="36"/>
    </row>
    <row r="704" spans="7:13" ht="15.75" customHeight="1">
      <c r="G704" s="11"/>
      <c r="K704" s="36"/>
      <c r="L704" s="36"/>
      <c r="M704" s="36"/>
    </row>
    <row r="705" spans="7:13" ht="15.75" customHeight="1">
      <c r="G705" s="11"/>
      <c r="K705" s="36"/>
      <c r="L705" s="36"/>
      <c r="M705" s="36"/>
    </row>
    <row r="706" spans="7:13" ht="15.75" customHeight="1">
      <c r="G706" s="11"/>
      <c r="K706" s="36"/>
      <c r="L706" s="36"/>
      <c r="M706" s="36"/>
    </row>
    <row r="707" spans="7:13" ht="15.75" customHeight="1">
      <c r="G707" s="11"/>
      <c r="K707" s="36"/>
      <c r="L707" s="36"/>
      <c r="M707" s="36"/>
    </row>
    <row r="708" spans="7:13" ht="15.75" customHeight="1">
      <c r="G708" s="11"/>
      <c r="K708" s="36"/>
      <c r="L708" s="36"/>
      <c r="M708" s="36"/>
    </row>
    <row r="709" spans="7:13" ht="15.75" customHeight="1">
      <c r="G709" s="11"/>
      <c r="K709" s="36"/>
      <c r="L709" s="36"/>
      <c r="M709" s="36"/>
    </row>
    <row r="710" spans="7:13" ht="15.75" customHeight="1">
      <c r="G710" s="11"/>
      <c r="K710" s="36"/>
      <c r="L710" s="36"/>
      <c r="M710" s="36"/>
    </row>
    <row r="711" spans="7:13" ht="15.75" customHeight="1">
      <c r="G711" s="11"/>
      <c r="K711" s="36"/>
      <c r="L711" s="36"/>
      <c r="M711" s="36"/>
    </row>
    <row r="712" spans="7:13" ht="15.75" customHeight="1">
      <c r="G712" s="11"/>
      <c r="K712" s="36"/>
      <c r="L712" s="36"/>
      <c r="M712" s="36"/>
    </row>
    <row r="713" spans="7:13" ht="15.75" customHeight="1">
      <c r="G713" s="11"/>
      <c r="K713" s="36"/>
      <c r="L713" s="36"/>
      <c r="M713" s="36"/>
    </row>
    <row r="714" spans="7:13" ht="15.75" customHeight="1">
      <c r="G714" s="11"/>
      <c r="K714" s="36"/>
      <c r="L714" s="36"/>
      <c r="M714" s="36"/>
    </row>
    <row r="715" spans="7:13" ht="15.75" customHeight="1">
      <c r="G715" s="11"/>
      <c r="K715" s="36"/>
      <c r="L715" s="36"/>
      <c r="M715" s="36"/>
    </row>
    <row r="716" spans="7:13" ht="15.75" customHeight="1">
      <c r="G716" s="11"/>
      <c r="K716" s="36"/>
      <c r="L716" s="36"/>
      <c r="M716" s="36"/>
    </row>
    <row r="717" spans="7:13" ht="15.75" customHeight="1">
      <c r="G717" s="11"/>
      <c r="K717" s="36"/>
      <c r="L717" s="36"/>
      <c r="M717" s="36"/>
    </row>
    <row r="718" spans="7:13" ht="15.75" customHeight="1">
      <c r="G718" s="11"/>
      <c r="K718" s="36"/>
      <c r="L718" s="36"/>
      <c r="M718" s="36"/>
    </row>
    <row r="719" spans="7:13" ht="15.75" customHeight="1">
      <c r="G719" s="11"/>
      <c r="K719" s="36"/>
      <c r="L719" s="36"/>
      <c r="M719" s="36"/>
    </row>
    <row r="720" spans="7:13" ht="15.75" customHeight="1">
      <c r="G720" s="11"/>
      <c r="K720" s="36"/>
      <c r="L720" s="36"/>
      <c r="M720" s="36"/>
    </row>
    <row r="721" spans="7:13" ht="15.75" customHeight="1">
      <c r="G721" s="11"/>
      <c r="K721" s="36"/>
      <c r="L721" s="36"/>
      <c r="M721" s="36"/>
    </row>
    <row r="722" spans="7:13" ht="15.75" customHeight="1">
      <c r="G722" s="11"/>
      <c r="K722" s="36"/>
      <c r="L722" s="36"/>
      <c r="M722" s="36"/>
    </row>
    <row r="723" spans="7:13" ht="15.75" customHeight="1">
      <c r="G723" s="11"/>
      <c r="K723" s="36"/>
      <c r="L723" s="36"/>
      <c r="M723" s="36"/>
    </row>
    <row r="724" spans="7:13" ht="15.75" customHeight="1">
      <c r="G724" s="11"/>
      <c r="K724" s="36"/>
      <c r="L724" s="36"/>
      <c r="M724" s="36"/>
    </row>
    <row r="725" spans="7:13" ht="15.75" customHeight="1">
      <c r="G725" s="11"/>
      <c r="K725" s="36"/>
      <c r="L725" s="36"/>
      <c r="M725" s="36"/>
    </row>
    <row r="726" spans="7:13" ht="15.75" customHeight="1">
      <c r="G726" s="11"/>
      <c r="K726" s="36"/>
      <c r="L726" s="36"/>
      <c r="M726" s="36"/>
    </row>
    <row r="727" spans="7:13" ht="15.75" customHeight="1">
      <c r="G727" s="11"/>
      <c r="K727" s="36"/>
      <c r="L727" s="36"/>
      <c r="M727" s="36"/>
    </row>
    <row r="728" spans="7:13" ht="15.75" customHeight="1">
      <c r="G728" s="11"/>
      <c r="K728" s="36"/>
      <c r="L728" s="36"/>
      <c r="M728" s="36"/>
    </row>
    <row r="729" spans="7:13" ht="15.75" customHeight="1">
      <c r="G729" s="11"/>
      <c r="K729" s="36"/>
      <c r="L729" s="36"/>
      <c r="M729" s="36"/>
    </row>
    <row r="730" spans="7:13" ht="15.75" customHeight="1">
      <c r="G730" s="11"/>
      <c r="K730" s="36"/>
      <c r="L730" s="36"/>
      <c r="M730" s="36"/>
    </row>
    <row r="731" spans="7:13" ht="15.75" customHeight="1">
      <c r="G731" s="11"/>
      <c r="K731" s="36"/>
      <c r="L731" s="36"/>
      <c r="M731" s="36"/>
    </row>
    <row r="732" spans="7:13" ht="15.75" customHeight="1">
      <c r="G732" s="11"/>
      <c r="K732" s="36"/>
      <c r="L732" s="36"/>
      <c r="M732" s="36"/>
    </row>
    <row r="733" spans="7:13" ht="15.75" customHeight="1">
      <c r="G733" s="11"/>
      <c r="K733" s="36"/>
      <c r="L733" s="36"/>
      <c r="M733" s="36"/>
    </row>
    <row r="734" spans="7:13" ht="15.75" customHeight="1">
      <c r="G734" s="11"/>
      <c r="K734" s="36"/>
      <c r="L734" s="36"/>
      <c r="M734" s="36"/>
    </row>
    <row r="735" spans="7:13" ht="15.75" customHeight="1">
      <c r="G735" s="11"/>
      <c r="K735" s="36"/>
      <c r="L735" s="36"/>
      <c r="M735" s="36"/>
    </row>
    <row r="736" spans="7:13" ht="15.75" customHeight="1">
      <c r="G736" s="11"/>
      <c r="K736" s="36"/>
      <c r="L736" s="36"/>
      <c r="M736" s="36"/>
    </row>
    <row r="737" spans="7:13" ht="15.75" customHeight="1">
      <c r="G737" s="11"/>
      <c r="K737" s="36"/>
      <c r="L737" s="36"/>
      <c r="M737" s="36"/>
    </row>
    <row r="738" spans="7:13" ht="15.75" customHeight="1">
      <c r="G738" s="11"/>
      <c r="K738" s="36"/>
      <c r="L738" s="36"/>
      <c r="M738" s="36"/>
    </row>
    <row r="739" spans="7:13" ht="15.75" customHeight="1">
      <c r="G739" s="11"/>
      <c r="K739" s="36"/>
      <c r="L739" s="36"/>
      <c r="M739" s="36"/>
    </row>
    <row r="740" spans="7:13" ht="15.75" customHeight="1">
      <c r="G740" s="11"/>
      <c r="K740" s="36"/>
      <c r="L740" s="36"/>
      <c r="M740" s="36"/>
    </row>
    <row r="741" spans="7:13" ht="15.75" customHeight="1">
      <c r="G741" s="11"/>
      <c r="K741" s="36"/>
      <c r="L741" s="36"/>
      <c r="M741" s="36"/>
    </row>
    <row r="742" spans="7:13" ht="15.75" customHeight="1">
      <c r="G742" s="11"/>
      <c r="K742" s="36"/>
      <c r="L742" s="36"/>
      <c r="M742" s="36"/>
    </row>
    <row r="743" spans="7:13" ht="15.75" customHeight="1">
      <c r="G743" s="11"/>
      <c r="K743" s="36"/>
      <c r="L743" s="36"/>
      <c r="M743" s="36"/>
    </row>
    <row r="744" spans="7:13" ht="15.75" customHeight="1">
      <c r="G744" s="11"/>
      <c r="K744" s="36"/>
      <c r="L744" s="36"/>
      <c r="M744" s="36"/>
    </row>
    <row r="745" spans="7:13" ht="15.75" customHeight="1">
      <c r="G745" s="11"/>
      <c r="K745" s="36"/>
      <c r="L745" s="36"/>
      <c r="M745" s="36"/>
    </row>
    <row r="746" spans="7:13" ht="15.75" customHeight="1">
      <c r="G746" s="11"/>
      <c r="K746" s="36"/>
      <c r="L746" s="36"/>
      <c r="M746" s="36"/>
    </row>
    <row r="747" spans="7:13" ht="15.75" customHeight="1">
      <c r="G747" s="11"/>
      <c r="K747" s="36"/>
      <c r="L747" s="36"/>
      <c r="M747" s="36"/>
    </row>
    <row r="748" spans="7:13" ht="15.75" customHeight="1">
      <c r="G748" s="11"/>
      <c r="K748" s="36"/>
      <c r="L748" s="36"/>
      <c r="M748" s="36"/>
    </row>
    <row r="749" spans="7:13" ht="15.75" customHeight="1">
      <c r="G749" s="11"/>
      <c r="K749" s="36"/>
      <c r="L749" s="36"/>
      <c r="M749" s="36"/>
    </row>
    <row r="750" spans="7:13" ht="15.75" customHeight="1">
      <c r="G750" s="11"/>
      <c r="K750" s="36"/>
      <c r="L750" s="36"/>
      <c r="M750" s="36"/>
    </row>
    <row r="751" spans="7:13" ht="15.75" customHeight="1">
      <c r="G751" s="11"/>
      <c r="K751" s="36"/>
      <c r="L751" s="36"/>
      <c r="M751" s="36"/>
    </row>
    <row r="752" spans="7:13" ht="15.75" customHeight="1">
      <c r="G752" s="11"/>
      <c r="K752" s="36"/>
      <c r="L752" s="36"/>
      <c r="M752" s="36"/>
    </row>
    <row r="753" spans="7:13" ht="15.75" customHeight="1">
      <c r="G753" s="11"/>
      <c r="K753" s="36"/>
      <c r="L753" s="36"/>
      <c r="M753" s="36"/>
    </row>
    <row r="754" spans="7:13" ht="15.75" customHeight="1">
      <c r="G754" s="11"/>
      <c r="K754" s="36"/>
      <c r="L754" s="36"/>
      <c r="M754" s="36"/>
    </row>
    <row r="755" spans="7:13" ht="15.75" customHeight="1">
      <c r="G755" s="11"/>
      <c r="K755" s="36"/>
      <c r="L755" s="36"/>
      <c r="M755" s="36"/>
    </row>
    <row r="756" spans="7:13" ht="15.75" customHeight="1">
      <c r="G756" s="11"/>
      <c r="K756" s="36"/>
      <c r="L756" s="36"/>
      <c r="M756" s="36"/>
    </row>
    <row r="757" spans="7:13" ht="15.75" customHeight="1">
      <c r="G757" s="11"/>
      <c r="K757" s="36"/>
      <c r="L757" s="36"/>
      <c r="M757" s="36"/>
    </row>
    <row r="758" spans="7:13" ht="15.75" customHeight="1">
      <c r="G758" s="11"/>
      <c r="K758" s="36"/>
      <c r="L758" s="36"/>
      <c r="M758" s="36"/>
    </row>
    <row r="759" spans="7:13" ht="15.75" customHeight="1">
      <c r="G759" s="11"/>
      <c r="K759" s="36"/>
      <c r="L759" s="36"/>
      <c r="M759" s="36"/>
    </row>
    <row r="760" spans="7:13" ht="15.75" customHeight="1">
      <c r="G760" s="11"/>
      <c r="K760" s="36"/>
      <c r="L760" s="36"/>
      <c r="M760" s="36"/>
    </row>
    <row r="761" spans="7:13" ht="15.75" customHeight="1">
      <c r="G761" s="11"/>
      <c r="K761" s="36"/>
      <c r="L761" s="36"/>
      <c r="M761" s="36"/>
    </row>
    <row r="762" spans="7:13" ht="15.75" customHeight="1">
      <c r="G762" s="11"/>
      <c r="K762" s="36"/>
      <c r="L762" s="36"/>
      <c r="M762" s="36"/>
    </row>
    <row r="763" spans="7:13" ht="15.75" customHeight="1">
      <c r="G763" s="11"/>
      <c r="K763" s="36"/>
      <c r="L763" s="36"/>
      <c r="M763" s="36"/>
    </row>
    <row r="764" spans="7:13" ht="15.75" customHeight="1">
      <c r="G764" s="11"/>
      <c r="K764" s="36"/>
      <c r="L764" s="36"/>
      <c r="M764" s="36"/>
    </row>
    <row r="765" spans="7:13" ht="15.75" customHeight="1">
      <c r="G765" s="11"/>
      <c r="K765" s="36"/>
      <c r="L765" s="36"/>
      <c r="M765" s="36"/>
    </row>
    <row r="766" spans="7:13" ht="15.75" customHeight="1">
      <c r="G766" s="11"/>
      <c r="K766" s="36"/>
      <c r="L766" s="36"/>
      <c r="M766" s="36"/>
    </row>
    <row r="767" spans="7:13" ht="15.75" customHeight="1">
      <c r="G767" s="11"/>
      <c r="K767" s="36"/>
      <c r="L767" s="36"/>
      <c r="M767" s="36"/>
    </row>
    <row r="768" spans="7:13" ht="15.75" customHeight="1">
      <c r="G768" s="11"/>
      <c r="K768" s="36"/>
      <c r="L768" s="36"/>
      <c r="M768" s="36"/>
    </row>
    <row r="769" spans="7:13" ht="15.75" customHeight="1">
      <c r="G769" s="11"/>
      <c r="K769" s="36"/>
      <c r="L769" s="36"/>
      <c r="M769" s="36"/>
    </row>
    <row r="770" spans="7:13" ht="15.75" customHeight="1">
      <c r="G770" s="11"/>
      <c r="K770" s="36"/>
      <c r="L770" s="36"/>
      <c r="M770" s="36"/>
    </row>
    <row r="771" spans="7:13" ht="15.75" customHeight="1">
      <c r="G771" s="11"/>
      <c r="K771" s="36"/>
      <c r="L771" s="36"/>
      <c r="M771" s="36"/>
    </row>
    <row r="772" spans="7:13" ht="15.75" customHeight="1">
      <c r="G772" s="11"/>
      <c r="K772" s="36"/>
      <c r="L772" s="36"/>
      <c r="M772" s="36"/>
    </row>
    <row r="773" spans="7:13" ht="15.75" customHeight="1">
      <c r="G773" s="11"/>
      <c r="K773" s="36"/>
      <c r="L773" s="36"/>
      <c r="M773" s="36"/>
    </row>
    <row r="774" spans="7:13" ht="15.75" customHeight="1">
      <c r="G774" s="11"/>
      <c r="K774" s="36"/>
      <c r="L774" s="36"/>
      <c r="M774" s="36"/>
    </row>
    <row r="775" spans="7:13" ht="15.75" customHeight="1">
      <c r="G775" s="11"/>
      <c r="K775" s="36"/>
      <c r="L775" s="36"/>
      <c r="M775" s="36"/>
    </row>
    <row r="776" spans="7:13" ht="15.75" customHeight="1">
      <c r="G776" s="11"/>
      <c r="K776" s="36"/>
      <c r="L776" s="36"/>
      <c r="M776" s="36"/>
    </row>
    <row r="777" spans="7:13" ht="15.75" customHeight="1">
      <c r="G777" s="11"/>
      <c r="K777" s="36"/>
      <c r="L777" s="36"/>
      <c r="M777" s="36"/>
    </row>
    <row r="778" spans="7:13" ht="15.75" customHeight="1">
      <c r="G778" s="11"/>
      <c r="K778" s="36"/>
      <c r="L778" s="36"/>
      <c r="M778" s="36"/>
    </row>
    <row r="779" spans="7:13" ht="15.75" customHeight="1">
      <c r="G779" s="11"/>
      <c r="K779" s="36"/>
      <c r="L779" s="36"/>
      <c r="M779" s="36"/>
    </row>
    <row r="780" spans="7:13" ht="15.75" customHeight="1">
      <c r="G780" s="11"/>
      <c r="K780" s="36"/>
      <c r="L780" s="36"/>
      <c r="M780" s="36"/>
    </row>
    <row r="781" spans="7:13" ht="15.75" customHeight="1">
      <c r="G781" s="11"/>
      <c r="K781" s="36"/>
      <c r="L781" s="36"/>
      <c r="M781" s="36"/>
    </row>
    <row r="782" spans="7:13" ht="15.75" customHeight="1">
      <c r="G782" s="11"/>
      <c r="K782" s="36"/>
      <c r="L782" s="36"/>
      <c r="M782" s="36"/>
    </row>
    <row r="783" spans="7:13" ht="15.75" customHeight="1">
      <c r="G783" s="11"/>
      <c r="K783" s="36"/>
      <c r="L783" s="36"/>
      <c r="M783" s="36"/>
    </row>
    <row r="784" spans="7:13" ht="15.75" customHeight="1">
      <c r="G784" s="11"/>
      <c r="K784" s="36"/>
      <c r="L784" s="36"/>
      <c r="M784" s="36"/>
    </row>
    <row r="785" spans="7:13" ht="15.75" customHeight="1">
      <c r="G785" s="11"/>
      <c r="K785" s="36"/>
      <c r="L785" s="36"/>
      <c r="M785" s="36"/>
    </row>
    <row r="786" spans="7:13" ht="15.75" customHeight="1">
      <c r="G786" s="11"/>
      <c r="K786" s="36"/>
      <c r="L786" s="36"/>
      <c r="M786" s="36"/>
    </row>
    <row r="787" spans="7:13" ht="15.75" customHeight="1">
      <c r="G787" s="11"/>
      <c r="K787" s="36"/>
      <c r="L787" s="36"/>
      <c r="M787" s="36"/>
    </row>
    <row r="788" spans="7:13" ht="15.75" customHeight="1">
      <c r="G788" s="11"/>
      <c r="K788" s="36"/>
      <c r="L788" s="36"/>
      <c r="M788" s="36"/>
    </row>
    <row r="789" spans="7:13" ht="15.75" customHeight="1">
      <c r="G789" s="11"/>
      <c r="K789" s="36"/>
      <c r="L789" s="36"/>
      <c r="M789" s="36"/>
    </row>
    <row r="790" spans="7:13" ht="15.75" customHeight="1">
      <c r="G790" s="11"/>
      <c r="K790" s="36"/>
      <c r="L790" s="36"/>
      <c r="M790" s="36"/>
    </row>
    <row r="791" spans="7:13" ht="15.75" customHeight="1">
      <c r="G791" s="11"/>
      <c r="K791" s="36"/>
      <c r="L791" s="36"/>
      <c r="M791" s="36"/>
    </row>
    <row r="792" spans="7:13" ht="15.75" customHeight="1">
      <c r="G792" s="11"/>
      <c r="K792" s="36"/>
      <c r="L792" s="36"/>
      <c r="M792" s="36"/>
    </row>
    <row r="793" spans="7:13" ht="15.75" customHeight="1">
      <c r="G793" s="11"/>
      <c r="K793" s="36"/>
      <c r="L793" s="36"/>
      <c r="M793" s="36"/>
    </row>
    <row r="794" spans="7:13" ht="15.75" customHeight="1">
      <c r="G794" s="11"/>
      <c r="K794" s="36"/>
      <c r="L794" s="36"/>
      <c r="M794" s="36"/>
    </row>
    <row r="795" spans="7:13" ht="15.75" customHeight="1">
      <c r="G795" s="11"/>
      <c r="K795" s="36"/>
      <c r="L795" s="36"/>
      <c r="M795" s="36"/>
    </row>
    <row r="796" spans="7:13" ht="15.75" customHeight="1">
      <c r="G796" s="11"/>
      <c r="K796" s="36"/>
      <c r="L796" s="36"/>
      <c r="M796" s="36"/>
    </row>
    <row r="797" spans="7:13" ht="15.75" customHeight="1">
      <c r="G797" s="11"/>
      <c r="K797" s="36"/>
      <c r="L797" s="36"/>
      <c r="M797" s="36"/>
    </row>
    <row r="798" spans="7:13" ht="15.75" customHeight="1">
      <c r="G798" s="11"/>
      <c r="K798" s="36"/>
      <c r="L798" s="36"/>
      <c r="M798" s="36"/>
    </row>
    <row r="799" spans="7:13" ht="15.75" customHeight="1">
      <c r="G799" s="11"/>
      <c r="K799" s="36"/>
      <c r="L799" s="36"/>
      <c r="M799" s="36"/>
    </row>
    <row r="800" spans="7:13" ht="15.75" customHeight="1">
      <c r="G800" s="11"/>
      <c r="K800" s="36"/>
      <c r="L800" s="36"/>
      <c r="M800" s="36"/>
    </row>
    <row r="801" spans="7:13" ht="15.75" customHeight="1">
      <c r="G801" s="11"/>
      <c r="K801" s="36"/>
      <c r="L801" s="36"/>
      <c r="M801" s="36"/>
    </row>
    <row r="802" spans="7:13" ht="15.75" customHeight="1">
      <c r="G802" s="11"/>
      <c r="K802" s="36"/>
      <c r="L802" s="36"/>
      <c r="M802" s="36"/>
    </row>
    <row r="803" spans="7:13" ht="15.75" customHeight="1">
      <c r="G803" s="11"/>
      <c r="K803" s="36"/>
      <c r="L803" s="36"/>
      <c r="M803" s="36"/>
    </row>
    <row r="804" spans="7:13" ht="15.75" customHeight="1">
      <c r="G804" s="11"/>
      <c r="K804" s="36"/>
      <c r="L804" s="36"/>
      <c r="M804" s="36"/>
    </row>
    <row r="805" spans="7:13" ht="15.75" customHeight="1">
      <c r="G805" s="11"/>
      <c r="K805" s="36"/>
      <c r="L805" s="36"/>
      <c r="M805" s="36"/>
    </row>
    <row r="806" spans="7:13" ht="15.75" customHeight="1">
      <c r="G806" s="11"/>
      <c r="K806" s="36"/>
      <c r="L806" s="36"/>
      <c r="M806" s="36"/>
    </row>
    <row r="807" spans="7:13" ht="15.75" customHeight="1">
      <c r="G807" s="11"/>
      <c r="K807" s="36"/>
      <c r="L807" s="36"/>
      <c r="M807" s="36"/>
    </row>
    <row r="808" spans="7:13" ht="15.75" customHeight="1">
      <c r="G808" s="11"/>
      <c r="K808" s="36"/>
      <c r="L808" s="36"/>
      <c r="M808" s="36"/>
    </row>
    <row r="809" spans="7:13" ht="15.75" customHeight="1">
      <c r="G809" s="11"/>
      <c r="K809" s="36"/>
      <c r="L809" s="36"/>
      <c r="M809" s="36"/>
    </row>
    <row r="810" spans="7:13" ht="15.75" customHeight="1">
      <c r="G810" s="11"/>
      <c r="K810" s="36"/>
      <c r="L810" s="36"/>
      <c r="M810" s="36"/>
    </row>
    <row r="811" spans="7:13" ht="15.75" customHeight="1">
      <c r="G811" s="11"/>
      <c r="K811" s="36"/>
      <c r="L811" s="36"/>
      <c r="M811" s="36"/>
    </row>
    <row r="812" spans="7:13" ht="15.75" customHeight="1">
      <c r="G812" s="11"/>
      <c r="K812" s="36"/>
      <c r="L812" s="36"/>
      <c r="M812" s="36"/>
    </row>
    <row r="813" spans="7:13" ht="15.75" customHeight="1">
      <c r="G813" s="11"/>
      <c r="K813" s="36"/>
      <c r="L813" s="36"/>
      <c r="M813" s="36"/>
    </row>
    <row r="814" spans="7:13" ht="15.75" customHeight="1">
      <c r="G814" s="11"/>
      <c r="K814" s="36"/>
      <c r="L814" s="36"/>
      <c r="M814" s="36"/>
    </row>
    <row r="815" spans="7:13" ht="15.75" customHeight="1">
      <c r="G815" s="11"/>
      <c r="K815" s="36"/>
      <c r="L815" s="36"/>
      <c r="M815" s="36"/>
    </row>
    <row r="816" spans="7:13" ht="15.75" customHeight="1">
      <c r="G816" s="11"/>
      <c r="K816" s="36"/>
      <c r="L816" s="36"/>
      <c r="M816" s="36"/>
    </row>
    <row r="817" spans="7:13" ht="15.75" customHeight="1">
      <c r="G817" s="11"/>
      <c r="K817" s="36"/>
      <c r="L817" s="36"/>
      <c r="M817" s="36"/>
    </row>
    <row r="818" spans="7:13" ht="15.75" customHeight="1">
      <c r="G818" s="11"/>
      <c r="K818" s="36"/>
      <c r="L818" s="36"/>
      <c r="M818" s="36"/>
    </row>
    <row r="819" spans="7:13" ht="15.75" customHeight="1">
      <c r="G819" s="11"/>
      <c r="K819" s="36"/>
      <c r="L819" s="36"/>
      <c r="M819" s="36"/>
    </row>
    <row r="820" spans="7:13" ht="15.75" customHeight="1">
      <c r="G820" s="11"/>
      <c r="K820" s="36"/>
      <c r="L820" s="36"/>
      <c r="M820" s="36"/>
    </row>
    <row r="821" spans="7:13" ht="15.75" customHeight="1">
      <c r="G821" s="11"/>
      <c r="K821" s="36"/>
      <c r="L821" s="36"/>
      <c r="M821" s="36"/>
    </row>
    <row r="822" spans="7:13" ht="15.75" customHeight="1">
      <c r="G822" s="11"/>
      <c r="K822" s="36"/>
      <c r="L822" s="36"/>
      <c r="M822" s="36"/>
    </row>
    <row r="823" spans="7:13" ht="15.75" customHeight="1">
      <c r="G823" s="11"/>
      <c r="K823" s="36"/>
      <c r="L823" s="36"/>
      <c r="M823" s="36"/>
    </row>
    <row r="824" spans="7:13" ht="15.75" customHeight="1">
      <c r="G824" s="11"/>
      <c r="K824" s="36"/>
      <c r="L824" s="36"/>
      <c r="M824" s="36"/>
    </row>
    <row r="825" spans="7:13" ht="15.75" customHeight="1">
      <c r="G825" s="11"/>
      <c r="K825" s="36"/>
      <c r="L825" s="36"/>
      <c r="M825" s="36"/>
    </row>
    <row r="826" spans="7:13" ht="15.75" customHeight="1">
      <c r="G826" s="11"/>
      <c r="K826" s="36"/>
      <c r="L826" s="36"/>
      <c r="M826" s="36"/>
    </row>
    <row r="827" spans="7:13" ht="15.75" customHeight="1">
      <c r="G827" s="11"/>
      <c r="K827" s="36"/>
      <c r="L827" s="36"/>
      <c r="M827" s="36"/>
    </row>
    <row r="828" spans="7:13" ht="15.75" customHeight="1">
      <c r="G828" s="11"/>
      <c r="K828" s="36"/>
      <c r="L828" s="36"/>
      <c r="M828" s="36"/>
    </row>
    <row r="829" spans="7:13" ht="15.75" customHeight="1">
      <c r="G829" s="11"/>
      <c r="K829" s="36"/>
      <c r="L829" s="36"/>
      <c r="M829" s="36"/>
    </row>
    <row r="830" spans="7:13" ht="15.75" customHeight="1">
      <c r="G830" s="11"/>
      <c r="K830" s="36"/>
      <c r="L830" s="36"/>
      <c r="M830" s="36"/>
    </row>
    <row r="831" spans="7:13" ht="15.75" customHeight="1">
      <c r="G831" s="11"/>
      <c r="K831" s="36"/>
      <c r="L831" s="36"/>
      <c r="M831" s="36"/>
    </row>
    <row r="832" spans="7:13" ht="15.75" customHeight="1">
      <c r="G832" s="11"/>
      <c r="K832" s="36"/>
      <c r="L832" s="36"/>
      <c r="M832" s="36"/>
    </row>
    <row r="833" spans="7:13" ht="15.75" customHeight="1">
      <c r="G833" s="11"/>
      <c r="K833" s="36"/>
      <c r="L833" s="36"/>
      <c r="M833" s="36"/>
    </row>
    <row r="834" spans="7:13" ht="15.75" customHeight="1">
      <c r="G834" s="11"/>
      <c r="K834" s="36"/>
      <c r="L834" s="36"/>
      <c r="M834" s="36"/>
    </row>
    <row r="835" spans="7:13" ht="15.75" customHeight="1">
      <c r="G835" s="11"/>
      <c r="K835" s="36"/>
      <c r="L835" s="36"/>
      <c r="M835" s="36"/>
    </row>
    <row r="836" spans="7:13" ht="15.75" customHeight="1">
      <c r="G836" s="11"/>
      <c r="K836" s="36"/>
      <c r="L836" s="36"/>
      <c r="M836" s="36"/>
    </row>
    <row r="837" spans="7:13" ht="15.75" customHeight="1">
      <c r="G837" s="11"/>
      <c r="K837" s="36"/>
      <c r="L837" s="36"/>
      <c r="M837" s="36"/>
    </row>
    <row r="838" spans="7:13" ht="15.75" customHeight="1">
      <c r="G838" s="11"/>
      <c r="K838" s="36"/>
      <c r="L838" s="36"/>
      <c r="M838" s="36"/>
    </row>
    <row r="839" spans="7:13" ht="15.75" customHeight="1">
      <c r="G839" s="11"/>
      <c r="K839" s="36"/>
      <c r="L839" s="36"/>
      <c r="M839" s="36"/>
    </row>
    <row r="840" spans="7:13" ht="15.75" customHeight="1">
      <c r="G840" s="11"/>
      <c r="K840" s="36"/>
      <c r="L840" s="36"/>
      <c r="M840" s="36"/>
    </row>
    <row r="841" spans="7:13" ht="15.75" customHeight="1">
      <c r="G841" s="11"/>
      <c r="K841" s="36"/>
      <c r="L841" s="36"/>
      <c r="M841" s="36"/>
    </row>
    <row r="842" spans="7:13" ht="15.75" customHeight="1">
      <c r="G842" s="11"/>
      <c r="K842" s="36"/>
      <c r="L842" s="36"/>
      <c r="M842" s="36"/>
    </row>
    <row r="843" spans="7:13" ht="15.75" customHeight="1">
      <c r="G843" s="11"/>
      <c r="K843" s="36"/>
      <c r="L843" s="36"/>
      <c r="M843" s="36"/>
    </row>
    <row r="844" spans="7:13" ht="15.75" customHeight="1">
      <c r="G844" s="11"/>
      <c r="K844" s="36"/>
      <c r="L844" s="36"/>
      <c r="M844" s="36"/>
    </row>
    <row r="845" spans="7:13" ht="15.75" customHeight="1">
      <c r="G845" s="11"/>
      <c r="K845" s="36"/>
      <c r="L845" s="36"/>
      <c r="M845" s="36"/>
    </row>
    <row r="846" spans="7:13" ht="15.75" customHeight="1">
      <c r="G846" s="11"/>
      <c r="K846" s="36"/>
      <c r="L846" s="36"/>
      <c r="M846" s="36"/>
    </row>
    <row r="847" spans="7:13" ht="15.75" customHeight="1">
      <c r="G847" s="11"/>
      <c r="K847" s="36"/>
      <c r="L847" s="36"/>
      <c r="M847" s="36"/>
    </row>
    <row r="848" spans="7:13" ht="15.75" customHeight="1">
      <c r="G848" s="11"/>
      <c r="K848" s="36"/>
      <c r="L848" s="36"/>
      <c r="M848" s="36"/>
    </row>
    <row r="849" spans="7:13" ht="15.75" customHeight="1">
      <c r="G849" s="11"/>
      <c r="K849" s="36"/>
      <c r="L849" s="36"/>
      <c r="M849" s="36"/>
    </row>
    <row r="850" spans="7:13" ht="15.75" customHeight="1">
      <c r="G850" s="11"/>
      <c r="K850" s="36"/>
      <c r="L850" s="36"/>
      <c r="M850" s="36"/>
    </row>
    <row r="851" spans="7:13" ht="15.75" customHeight="1">
      <c r="G851" s="11"/>
      <c r="K851" s="36"/>
      <c r="L851" s="36"/>
      <c r="M851" s="36"/>
    </row>
    <row r="852" spans="7:13" ht="15.75" customHeight="1">
      <c r="G852" s="11"/>
      <c r="K852" s="36"/>
      <c r="L852" s="36"/>
      <c r="M852" s="36"/>
    </row>
    <row r="853" spans="7:13" ht="15.75" customHeight="1">
      <c r="G853" s="11"/>
      <c r="K853" s="36"/>
      <c r="L853" s="36"/>
      <c r="M853" s="36"/>
    </row>
    <row r="854" spans="7:13" ht="15.75" customHeight="1">
      <c r="G854" s="11"/>
      <c r="K854" s="36"/>
      <c r="L854" s="36"/>
      <c r="M854" s="36"/>
    </row>
    <row r="855" spans="7:13" ht="15.75" customHeight="1">
      <c r="G855" s="11"/>
      <c r="K855" s="36"/>
      <c r="L855" s="36"/>
      <c r="M855" s="36"/>
    </row>
    <row r="856" spans="7:13" ht="15.75" customHeight="1">
      <c r="G856" s="11"/>
      <c r="K856" s="36"/>
      <c r="L856" s="36"/>
      <c r="M856" s="36"/>
    </row>
    <row r="857" spans="7:13" ht="15.75" customHeight="1">
      <c r="G857" s="11"/>
      <c r="K857" s="36"/>
      <c r="L857" s="36"/>
      <c r="M857" s="36"/>
    </row>
    <row r="858" spans="7:13" ht="15.75" customHeight="1">
      <c r="G858" s="11"/>
      <c r="K858" s="36"/>
      <c r="L858" s="36"/>
      <c r="M858" s="36"/>
    </row>
    <row r="859" spans="7:13" ht="15.75" customHeight="1">
      <c r="G859" s="11"/>
      <c r="K859" s="36"/>
      <c r="L859" s="36"/>
      <c r="M859" s="36"/>
    </row>
    <row r="860" spans="7:13" ht="15.75" customHeight="1">
      <c r="G860" s="11"/>
      <c r="K860" s="36"/>
      <c r="L860" s="36"/>
      <c r="M860" s="36"/>
    </row>
    <row r="861" spans="7:13" ht="15.75" customHeight="1">
      <c r="G861" s="11"/>
      <c r="K861" s="36"/>
      <c r="L861" s="36"/>
      <c r="M861" s="36"/>
    </row>
    <row r="862" spans="7:13" ht="15.75" customHeight="1">
      <c r="G862" s="11"/>
      <c r="K862" s="36"/>
      <c r="L862" s="36"/>
      <c r="M862" s="36"/>
    </row>
    <row r="863" spans="7:13" ht="15.75" customHeight="1">
      <c r="G863" s="11"/>
      <c r="K863" s="36"/>
      <c r="L863" s="36"/>
      <c r="M863" s="36"/>
    </row>
    <row r="864" spans="7:13" ht="15.75" customHeight="1">
      <c r="G864" s="11"/>
      <c r="K864" s="36"/>
      <c r="L864" s="36"/>
      <c r="M864" s="36"/>
    </row>
    <row r="865" spans="7:13" ht="15.75" customHeight="1">
      <c r="G865" s="11"/>
      <c r="K865" s="36"/>
      <c r="L865" s="36"/>
      <c r="M865" s="36"/>
    </row>
    <row r="866" spans="7:13" ht="15.75" customHeight="1">
      <c r="G866" s="11"/>
      <c r="K866" s="36"/>
      <c r="L866" s="36"/>
      <c r="M866" s="36"/>
    </row>
    <row r="867" spans="7:13" ht="15.75" customHeight="1">
      <c r="G867" s="11"/>
      <c r="K867" s="36"/>
      <c r="L867" s="36"/>
      <c r="M867" s="36"/>
    </row>
    <row r="868" spans="7:13" ht="15.75" customHeight="1">
      <c r="G868" s="11"/>
      <c r="K868" s="36"/>
      <c r="L868" s="36"/>
      <c r="M868" s="36"/>
    </row>
    <row r="869" spans="7:13" ht="15.75" customHeight="1">
      <c r="G869" s="11"/>
      <c r="K869" s="36"/>
      <c r="L869" s="36"/>
      <c r="M869" s="36"/>
    </row>
    <row r="870" spans="7:13" ht="15.75" customHeight="1">
      <c r="G870" s="11"/>
      <c r="K870" s="36"/>
      <c r="L870" s="36"/>
      <c r="M870" s="36"/>
    </row>
    <row r="871" spans="7:13" ht="15.75" customHeight="1">
      <c r="G871" s="11"/>
      <c r="K871" s="36"/>
      <c r="L871" s="36"/>
      <c r="M871" s="36"/>
    </row>
    <row r="872" spans="7:13" ht="15.75" customHeight="1">
      <c r="G872" s="11"/>
      <c r="K872" s="36"/>
      <c r="L872" s="36"/>
      <c r="M872" s="36"/>
    </row>
    <row r="873" spans="7:13" ht="15.75" customHeight="1">
      <c r="G873" s="11"/>
      <c r="K873" s="36"/>
      <c r="L873" s="36"/>
      <c r="M873" s="36"/>
    </row>
    <row r="874" spans="7:13" ht="15.75" customHeight="1">
      <c r="G874" s="11"/>
      <c r="K874" s="36"/>
      <c r="L874" s="36"/>
      <c r="M874" s="36"/>
    </row>
    <row r="875" spans="7:13" ht="15.75" customHeight="1">
      <c r="G875" s="11"/>
      <c r="K875" s="36"/>
      <c r="L875" s="36"/>
      <c r="M875" s="36"/>
    </row>
    <row r="876" spans="7:13" ht="15.75" customHeight="1">
      <c r="G876" s="11"/>
      <c r="K876" s="36"/>
      <c r="L876" s="36"/>
      <c r="M876" s="36"/>
    </row>
    <row r="877" spans="7:13" ht="15.75" customHeight="1">
      <c r="G877" s="11"/>
      <c r="K877" s="36"/>
      <c r="L877" s="36"/>
      <c r="M877" s="36"/>
    </row>
    <row r="878" spans="7:13" ht="15.75" customHeight="1">
      <c r="G878" s="11"/>
      <c r="K878" s="36"/>
      <c r="L878" s="36"/>
      <c r="M878" s="36"/>
    </row>
    <row r="879" spans="7:13" ht="15.75" customHeight="1">
      <c r="G879" s="11"/>
      <c r="K879" s="36"/>
      <c r="L879" s="36"/>
      <c r="M879" s="36"/>
    </row>
    <row r="880" spans="7:13" ht="15.75" customHeight="1">
      <c r="G880" s="11"/>
      <c r="K880" s="36"/>
      <c r="L880" s="36"/>
      <c r="M880" s="36"/>
    </row>
    <row r="881" spans="7:13" ht="15.75" customHeight="1">
      <c r="G881" s="11"/>
      <c r="K881" s="36"/>
      <c r="L881" s="36"/>
      <c r="M881" s="36"/>
    </row>
    <row r="882" spans="7:13" ht="15.75" customHeight="1">
      <c r="G882" s="11"/>
      <c r="K882" s="36"/>
      <c r="L882" s="36"/>
      <c r="M882" s="36"/>
    </row>
    <row r="883" spans="7:13" ht="15.75" customHeight="1">
      <c r="G883" s="11"/>
      <c r="K883" s="36"/>
      <c r="L883" s="36"/>
      <c r="M883" s="36"/>
    </row>
    <row r="884" spans="7:13" ht="15.75" customHeight="1">
      <c r="G884" s="11"/>
      <c r="K884" s="36"/>
      <c r="L884" s="36"/>
      <c r="M884" s="36"/>
    </row>
    <row r="885" spans="7:13" ht="15.75" customHeight="1">
      <c r="G885" s="11"/>
      <c r="K885" s="36"/>
      <c r="L885" s="36"/>
      <c r="M885" s="36"/>
    </row>
    <row r="886" spans="7:13" ht="15.75" customHeight="1">
      <c r="G886" s="11"/>
      <c r="K886" s="36"/>
      <c r="L886" s="36"/>
      <c r="M886" s="36"/>
    </row>
    <row r="887" spans="7:13" ht="15.75" customHeight="1">
      <c r="G887" s="11"/>
      <c r="K887" s="36"/>
      <c r="L887" s="36"/>
      <c r="M887" s="36"/>
    </row>
    <row r="888" spans="7:13" ht="15.75" customHeight="1">
      <c r="G888" s="11"/>
      <c r="K888" s="36"/>
      <c r="L888" s="36"/>
      <c r="M888" s="36"/>
    </row>
    <row r="889" spans="7:13" ht="15.75" customHeight="1">
      <c r="G889" s="11"/>
      <c r="K889" s="36"/>
      <c r="L889" s="36"/>
      <c r="M889" s="36"/>
    </row>
    <row r="890" spans="7:13" ht="15.75" customHeight="1">
      <c r="G890" s="11"/>
      <c r="K890" s="36"/>
      <c r="L890" s="36"/>
      <c r="M890" s="36"/>
    </row>
    <row r="891" spans="7:13" ht="15.75" customHeight="1">
      <c r="G891" s="11"/>
      <c r="K891" s="36"/>
      <c r="L891" s="36"/>
      <c r="M891" s="36"/>
    </row>
    <row r="892" spans="7:13" ht="15.75" customHeight="1">
      <c r="G892" s="11"/>
      <c r="K892" s="36"/>
      <c r="L892" s="36"/>
      <c r="M892" s="36"/>
    </row>
    <row r="893" spans="7:13" ht="15.75" customHeight="1">
      <c r="G893" s="11"/>
      <c r="K893" s="36"/>
      <c r="L893" s="36"/>
      <c r="M893" s="36"/>
    </row>
    <row r="894" spans="7:13" ht="15.75" customHeight="1">
      <c r="G894" s="11"/>
      <c r="K894" s="36"/>
      <c r="L894" s="36"/>
      <c r="M894" s="36"/>
    </row>
    <row r="895" spans="7:13" ht="15.75" customHeight="1">
      <c r="G895" s="11"/>
      <c r="K895" s="36"/>
      <c r="L895" s="36"/>
      <c r="M895" s="36"/>
    </row>
    <row r="896" spans="7:13" ht="15.75" customHeight="1">
      <c r="G896" s="11"/>
      <c r="K896" s="36"/>
      <c r="L896" s="36"/>
      <c r="M896" s="36"/>
    </row>
    <row r="897" spans="7:13" ht="15.75" customHeight="1">
      <c r="G897" s="11"/>
      <c r="K897" s="36"/>
      <c r="L897" s="36"/>
      <c r="M897" s="36"/>
    </row>
    <row r="898" spans="7:13" ht="15.75" customHeight="1">
      <c r="G898" s="11"/>
      <c r="K898" s="36"/>
      <c r="L898" s="36"/>
      <c r="M898" s="36"/>
    </row>
    <row r="899" spans="7:13" ht="15.75" customHeight="1">
      <c r="G899" s="11"/>
      <c r="K899" s="36"/>
      <c r="L899" s="36"/>
      <c r="M899" s="36"/>
    </row>
    <row r="900" spans="7:13" ht="15.75" customHeight="1">
      <c r="G900" s="11"/>
      <c r="K900" s="36"/>
      <c r="L900" s="36"/>
      <c r="M900" s="36"/>
    </row>
    <row r="901" spans="7:13" ht="15.75" customHeight="1">
      <c r="G901" s="11"/>
      <c r="K901" s="36"/>
      <c r="L901" s="36"/>
      <c r="M901" s="36"/>
    </row>
    <row r="902" spans="7:13" ht="15.75" customHeight="1">
      <c r="G902" s="11"/>
      <c r="K902" s="36"/>
      <c r="L902" s="36"/>
      <c r="M902" s="36"/>
    </row>
    <row r="903" spans="7:13" ht="15.75" customHeight="1">
      <c r="G903" s="11"/>
      <c r="K903" s="36"/>
      <c r="L903" s="36"/>
      <c r="M903" s="36"/>
    </row>
    <row r="904" spans="7:13" ht="15.75" customHeight="1">
      <c r="G904" s="11"/>
      <c r="K904" s="36"/>
      <c r="L904" s="36"/>
      <c r="M904" s="36"/>
    </row>
    <row r="905" spans="7:13" ht="15.75" customHeight="1">
      <c r="G905" s="11"/>
      <c r="K905" s="36"/>
      <c r="L905" s="36"/>
      <c r="M905" s="36"/>
    </row>
    <row r="906" spans="7:13" ht="15.75" customHeight="1">
      <c r="G906" s="11"/>
      <c r="K906" s="36"/>
      <c r="L906" s="36"/>
      <c r="M906" s="36"/>
    </row>
    <row r="907" spans="7:13" ht="15.75" customHeight="1">
      <c r="G907" s="11"/>
      <c r="K907" s="36"/>
      <c r="L907" s="36"/>
      <c r="M907" s="36"/>
    </row>
    <row r="908" spans="7:13" ht="15.75" customHeight="1">
      <c r="G908" s="11"/>
      <c r="K908" s="36"/>
      <c r="L908" s="36"/>
      <c r="M908" s="36"/>
    </row>
    <row r="909" spans="7:13" ht="15.75" customHeight="1">
      <c r="G909" s="11"/>
      <c r="K909" s="36"/>
      <c r="L909" s="36"/>
      <c r="M909" s="36"/>
    </row>
    <row r="910" spans="7:13" ht="15.75" customHeight="1">
      <c r="G910" s="11"/>
      <c r="K910" s="36"/>
      <c r="L910" s="36"/>
      <c r="M910" s="36"/>
    </row>
    <row r="911" spans="7:13" ht="15.75" customHeight="1">
      <c r="G911" s="11"/>
      <c r="K911" s="36"/>
      <c r="L911" s="36"/>
      <c r="M911" s="36"/>
    </row>
    <row r="912" spans="7:13" ht="15.75" customHeight="1">
      <c r="G912" s="11"/>
      <c r="K912" s="36"/>
      <c r="L912" s="36"/>
      <c r="M912" s="36"/>
    </row>
    <row r="913" spans="7:13" ht="15.75" customHeight="1">
      <c r="G913" s="11"/>
      <c r="K913" s="36"/>
      <c r="L913" s="36"/>
      <c r="M913" s="36"/>
    </row>
    <row r="914" spans="7:13" ht="15.75" customHeight="1">
      <c r="G914" s="11"/>
      <c r="K914" s="36"/>
      <c r="L914" s="36"/>
      <c r="M914" s="36"/>
    </row>
    <row r="915" spans="7:13" ht="15.75" customHeight="1">
      <c r="G915" s="11"/>
      <c r="K915" s="36"/>
      <c r="L915" s="36"/>
      <c r="M915" s="36"/>
    </row>
    <row r="916" spans="7:13" ht="15.75" customHeight="1">
      <c r="G916" s="11"/>
      <c r="K916" s="36"/>
      <c r="L916" s="36"/>
      <c r="M916" s="36"/>
    </row>
    <row r="917" spans="7:13" ht="15.75" customHeight="1">
      <c r="G917" s="11"/>
      <c r="K917" s="36"/>
      <c r="L917" s="36"/>
      <c r="M917" s="36"/>
    </row>
    <row r="918" spans="7:13" ht="15.75" customHeight="1">
      <c r="G918" s="11"/>
      <c r="K918" s="36"/>
      <c r="L918" s="36"/>
      <c r="M918" s="36"/>
    </row>
    <row r="919" spans="7:13" ht="15.75" customHeight="1">
      <c r="G919" s="11"/>
      <c r="K919" s="36"/>
      <c r="L919" s="36"/>
      <c r="M919" s="36"/>
    </row>
    <row r="920" spans="7:13" ht="15.75" customHeight="1">
      <c r="G920" s="11"/>
      <c r="K920" s="36"/>
      <c r="L920" s="36"/>
      <c r="M920" s="36"/>
    </row>
    <row r="921" spans="7:13" ht="15.75" customHeight="1">
      <c r="G921" s="11"/>
      <c r="K921" s="36"/>
      <c r="L921" s="36"/>
      <c r="M921" s="36"/>
    </row>
    <row r="922" spans="7:13" ht="15.75" customHeight="1">
      <c r="G922" s="11"/>
      <c r="K922" s="36"/>
      <c r="L922" s="36"/>
      <c r="M922" s="36"/>
    </row>
    <row r="923" spans="7:13" ht="15.75" customHeight="1">
      <c r="G923" s="11"/>
      <c r="K923" s="36"/>
      <c r="L923" s="36"/>
      <c r="M923" s="36"/>
    </row>
    <row r="924" spans="7:13" ht="15.75" customHeight="1">
      <c r="G924" s="11"/>
      <c r="K924" s="36"/>
      <c r="L924" s="36"/>
      <c r="M924" s="36"/>
    </row>
    <row r="925" spans="7:13" ht="15.75" customHeight="1">
      <c r="G925" s="11"/>
      <c r="K925" s="36"/>
      <c r="L925" s="36"/>
      <c r="M925" s="36"/>
    </row>
    <row r="926" spans="7:13" ht="15.75" customHeight="1">
      <c r="G926" s="11"/>
      <c r="K926" s="36"/>
      <c r="L926" s="36"/>
      <c r="M926" s="36"/>
    </row>
    <row r="927" spans="7:13" ht="15.75" customHeight="1">
      <c r="G927" s="11"/>
      <c r="K927" s="36"/>
      <c r="L927" s="36"/>
      <c r="M927" s="36"/>
    </row>
    <row r="928" spans="7:13" ht="15.75" customHeight="1">
      <c r="G928" s="11"/>
      <c r="K928" s="36"/>
      <c r="L928" s="36"/>
      <c r="M928" s="36"/>
    </row>
    <row r="929" spans="7:13" ht="15.75" customHeight="1">
      <c r="G929" s="11"/>
      <c r="K929" s="36"/>
      <c r="L929" s="36"/>
      <c r="M929" s="36"/>
    </row>
    <row r="930" spans="7:13" ht="15.75" customHeight="1">
      <c r="G930" s="11"/>
      <c r="K930" s="36"/>
      <c r="L930" s="36"/>
      <c r="M930" s="36"/>
    </row>
    <row r="931" spans="7:13" ht="15.75" customHeight="1">
      <c r="G931" s="11"/>
      <c r="K931" s="36"/>
      <c r="L931" s="36"/>
      <c r="M931" s="36"/>
    </row>
    <row r="932" spans="7:13" ht="15.75" customHeight="1">
      <c r="G932" s="11"/>
      <c r="K932" s="36"/>
      <c r="L932" s="36"/>
      <c r="M932" s="36"/>
    </row>
    <row r="933" spans="7:13" ht="15.75" customHeight="1">
      <c r="G933" s="11"/>
      <c r="K933" s="36"/>
      <c r="L933" s="36"/>
      <c r="M933" s="36"/>
    </row>
    <row r="934" spans="7:13" ht="15.75" customHeight="1">
      <c r="G934" s="11"/>
      <c r="K934" s="36"/>
      <c r="L934" s="36"/>
      <c r="M934" s="36"/>
    </row>
    <row r="935" spans="7:13" ht="15.75" customHeight="1">
      <c r="G935" s="11"/>
      <c r="K935" s="36"/>
      <c r="L935" s="36"/>
      <c r="M935" s="36"/>
    </row>
    <row r="936" spans="7:13" ht="15.75" customHeight="1">
      <c r="G936" s="11"/>
      <c r="K936" s="36"/>
      <c r="L936" s="36"/>
      <c r="M936" s="36"/>
    </row>
    <row r="937" spans="7:13" ht="15.75" customHeight="1">
      <c r="G937" s="11"/>
      <c r="K937" s="36"/>
      <c r="L937" s="36"/>
      <c r="M937" s="36"/>
    </row>
    <row r="938" spans="7:13" ht="15.75" customHeight="1">
      <c r="G938" s="11"/>
      <c r="K938" s="36"/>
      <c r="L938" s="36"/>
      <c r="M938" s="36"/>
    </row>
    <row r="939" spans="7:13" ht="15.75" customHeight="1">
      <c r="G939" s="11"/>
      <c r="K939" s="36"/>
      <c r="L939" s="36"/>
      <c r="M939" s="36"/>
    </row>
    <row r="940" spans="7:13" ht="15.75" customHeight="1">
      <c r="G940" s="11"/>
      <c r="K940" s="36"/>
      <c r="L940" s="36"/>
      <c r="M940" s="36"/>
    </row>
    <row r="941" spans="7:13" ht="15.75" customHeight="1">
      <c r="G941" s="11"/>
      <c r="K941" s="36"/>
      <c r="L941" s="36"/>
      <c r="M941" s="36"/>
    </row>
    <row r="942" spans="7:13" ht="15.75" customHeight="1">
      <c r="G942" s="11"/>
      <c r="K942" s="36"/>
      <c r="L942" s="36"/>
      <c r="M942" s="36"/>
    </row>
    <row r="943" spans="7:13" ht="15.75" customHeight="1">
      <c r="G943" s="11"/>
      <c r="K943" s="36"/>
      <c r="L943" s="36"/>
      <c r="M943" s="36"/>
    </row>
    <row r="944" spans="7:13" ht="15.75" customHeight="1">
      <c r="G944" s="11"/>
      <c r="K944" s="36"/>
      <c r="L944" s="36"/>
      <c r="M944" s="36"/>
    </row>
    <row r="945" spans="7:13" ht="15.75" customHeight="1">
      <c r="G945" s="11"/>
      <c r="K945" s="36"/>
      <c r="L945" s="36"/>
      <c r="M945" s="36"/>
    </row>
    <row r="946" spans="7:13" ht="15.75" customHeight="1">
      <c r="G946" s="11"/>
      <c r="K946" s="36"/>
      <c r="L946" s="36"/>
      <c r="M946" s="36"/>
    </row>
    <row r="947" spans="7:13" ht="15.75" customHeight="1">
      <c r="G947" s="11"/>
      <c r="K947" s="36"/>
      <c r="L947" s="36"/>
      <c r="M947" s="36"/>
    </row>
    <row r="948" spans="7:13" ht="15.75" customHeight="1">
      <c r="G948" s="11"/>
      <c r="K948" s="36"/>
      <c r="L948" s="36"/>
      <c r="M948" s="36"/>
    </row>
    <row r="949" spans="7:13" ht="15.75" customHeight="1">
      <c r="G949" s="11"/>
      <c r="K949" s="36"/>
      <c r="L949" s="36"/>
      <c r="M949" s="36"/>
    </row>
    <row r="950" spans="7:13" ht="15.75" customHeight="1">
      <c r="G950" s="11"/>
      <c r="K950" s="36"/>
      <c r="L950" s="36"/>
      <c r="M950" s="36"/>
    </row>
    <row r="951" spans="7:13" ht="15.75" customHeight="1">
      <c r="G951" s="11"/>
      <c r="K951" s="36"/>
      <c r="L951" s="36"/>
      <c r="M951" s="36"/>
    </row>
    <row r="952" spans="7:13" ht="15.75" customHeight="1">
      <c r="G952" s="11"/>
      <c r="K952" s="36"/>
      <c r="L952" s="36"/>
      <c r="M952" s="36"/>
    </row>
    <row r="953" spans="7:13" ht="15.75" customHeight="1">
      <c r="G953" s="11"/>
      <c r="K953" s="36"/>
      <c r="L953" s="36"/>
      <c r="M953" s="36"/>
    </row>
    <row r="954" spans="7:13" ht="15.75" customHeight="1">
      <c r="G954" s="11"/>
      <c r="K954" s="36"/>
      <c r="L954" s="36"/>
      <c r="M954" s="36"/>
    </row>
    <row r="955" spans="7:13" ht="15.75" customHeight="1">
      <c r="G955" s="11"/>
      <c r="K955" s="36"/>
      <c r="L955" s="36"/>
      <c r="M955" s="36"/>
    </row>
    <row r="956" spans="7:13" ht="15.75" customHeight="1">
      <c r="G956" s="11"/>
      <c r="K956" s="36"/>
      <c r="L956" s="36"/>
      <c r="M956" s="36"/>
    </row>
    <row r="957" spans="7:13" ht="15.75" customHeight="1">
      <c r="G957" s="11"/>
      <c r="K957" s="36"/>
      <c r="L957" s="36"/>
      <c r="M957" s="36"/>
    </row>
    <row r="958" spans="7:13" ht="15.75" customHeight="1">
      <c r="G958" s="11"/>
      <c r="K958" s="36"/>
      <c r="L958" s="36"/>
      <c r="M958" s="36"/>
    </row>
    <row r="959" spans="7:13" ht="15.75" customHeight="1">
      <c r="G959" s="11"/>
      <c r="K959" s="36"/>
      <c r="L959" s="36"/>
      <c r="M959" s="36"/>
    </row>
    <row r="960" spans="7:13" ht="15.75" customHeight="1">
      <c r="G960" s="11"/>
      <c r="K960" s="36"/>
      <c r="L960" s="36"/>
      <c r="M960" s="36"/>
    </row>
    <row r="961" spans="7:13" ht="15.75" customHeight="1">
      <c r="G961" s="11"/>
      <c r="K961" s="36"/>
      <c r="L961" s="36"/>
      <c r="M961" s="36"/>
    </row>
    <row r="962" spans="7:13" ht="15.75" customHeight="1">
      <c r="G962" s="11"/>
      <c r="K962" s="36"/>
      <c r="L962" s="36"/>
      <c r="M962" s="36"/>
    </row>
    <row r="963" spans="7:13" ht="15.75" customHeight="1">
      <c r="G963" s="11"/>
      <c r="K963" s="36"/>
      <c r="L963" s="36"/>
      <c r="M963" s="36"/>
    </row>
    <row r="964" spans="7:13" ht="15.75" customHeight="1">
      <c r="G964" s="11"/>
      <c r="K964" s="36"/>
      <c r="L964" s="36"/>
      <c r="M964" s="36"/>
    </row>
    <row r="965" spans="7:13" ht="15.75" customHeight="1">
      <c r="G965" s="11"/>
      <c r="K965" s="36"/>
      <c r="L965" s="36"/>
      <c r="M965" s="36"/>
    </row>
    <row r="966" spans="7:13" ht="15.75" customHeight="1">
      <c r="G966" s="11"/>
      <c r="K966" s="36"/>
      <c r="L966" s="36"/>
      <c r="M966" s="36"/>
    </row>
    <row r="967" spans="7:13" ht="15.75" customHeight="1">
      <c r="G967" s="11"/>
      <c r="K967" s="36"/>
      <c r="L967" s="36"/>
      <c r="M967" s="36"/>
    </row>
    <row r="968" spans="7:13" ht="15.75" customHeight="1">
      <c r="G968" s="11"/>
      <c r="K968" s="36"/>
      <c r="L968" s="36"/>
      <c r="M968" s="36"/>
    </row>
    <row r="969" spans="7:13" ht="15.75" customHeight="1">
      <c r="G969" s="11"/>
      <c r="K969" s="36"/>
      <c r="L969" s="36"/>
      <c r="M969" s="36"/>
    </row>
    <row r="970" spans="7:13" ht="15.75" customHeight="1">
      <c r="G970" s="11"/>
      <c r="K970" s="36"/>
      <c r="L970" s="36"/>
      <c r="M970" s="36"/>
    </row>
    <row r="971" spans="7:13" ht="15.75" customHeight="1">
      <c r="G971" s="11"/>
      <c r="K971" s="36"/>
      <c r="L971" s="36"/>
      <c r="M971" s="36"/>
    </row>
    <row r="972" spans="7:13" ht="15.75" customHeight="1">
      <c r="G972" s="11"/>
      <c r="K972" s="36"/>
      <c r="L972" s="36"/>
      <c r="M972" s="36"/>
    </row>
    <row r="973" spans="7:13" ht="15.75" customHeight="1">
      <c r="G973" s="11"/>
      <c r="K973" s="36"/>
      <c r="L973" s="36"/>
      <c r="M973" s="36"/>
    </row>
    <row r="974" spans="7:13" ht="15.75" customHeight="1">
      <c r="G974" s="11"/>
      <c r="K974" s="36"/>
      <c r="L974" s="36"/>
      <c r="M974" s="36"/>
    </row>
    <row r="975" spans="7:13" ht="15.75" customHeight="1">
      <c r="G975" s="11"/>
      <c r="K975" s="36"/>
      <c r="L975" s="36"/>
      <c r="M975" s="36"/>
    </row>
    <row r="976" spans="7:13" ht="15.75" customHeight="1">
      <c r="G976" s="11"/>
      <c r="K976" s="36"/>
      <c r="L976" s="36"/>
      <c r="M976" s="36"/>
    </row>
    <row r="977" spans="7:13" ht="15.75" customHeight="1">
      <c r="G977" s="11"/>
      <c r="K977" s="36"/>
      <c r="L977" s="36"/>
      <c r="M977" s="36"/>
    </row>
    <row r="978" spans="7:13" ht="15.75" customHeight="1">
      <c r="G978" s="11"/>
      <c r="K978" s="36"/>
      <c r="L978" s="36"/>
      <c r="M978" s="36"/>
    </row>
    <row r="979" spans="7:13" ht="15.75" customHeight="1">
      <c r="G979" s="11"/>
      <c r="K979" s="36"/>
      <c r="L979" s="36"/>
      <c r="M979" s="36"/>
    </row>
    <row r="980" spans="7:13" ht="15.75" customHeight="1">
      <c r="G980" s="11"/>
      <c r="K980" s="36"/>
      <c r="L980" s="36"/>
      <c r="M980" s="36"/>
    </row>
    <row r="981" spans="7:13" ht="15.75" customHeight="1">
      <c r="G981" s="11"/>
      <c r="K981" s="36"/>
      <c r="L981" s="36"/>
      <c r="M981" s="36"/>
    </row>
    <row r="982" spans="7:13" ht="15.75" customHeight="1">
      <c r="G982" s="11"/>
      <c r="K982" s="36"/>
      <c r="L982" s="36"/>
      <c r="M982" s="36"/>
    </row>
    <row r="983" spans="7:13" ht="15.75" customHeight="1">
      <c r="G983" s="11"/>
      <c r="K983" s="36"/>
      <c r="L983" s="36"/>
      <c r="M983" s="36"/>
    </row>
    <row r="984" spans="7:13" ht="15.75" customHeight="1">
      <c r="G984" s="11"/>
      <c r="K984" s="36"/>
      <c r="L984" s="36"/>
      <c r="M984" s="36"/>
    </row>
    <row r="985" spans="7:13" ht="15.75" customHeight="1">
      <c r="G985" s="11"/>
      <c r="K985" s="36"/>
      <c r="L985" s="36"/>
      <c r="M985" s="36"/>
    </row>
    <row r="986" spans="7:13" ht="15.75" customHeight="1">
      <c r="G986" s="11"/>
      <c r="K986" s="36"/>
      <c r="L986" s="36"/>
      <c r="M986" s="36"/>
    </row>
    <row r="987" spans="7:13" ht="15.75" customHeight="1">
      <c r="G987" s="11"/>
      <c r="K987" s="36"/>
      <c r="L987" s="36"/>
      <c r="M987" s="36"/>
    </row>
    <row r="988" spans="7:13" ht="15.75" customHeight="1">
      <c r="G988" s="11"/>
      <c r="K988" s="36"/>
      <c r="L988" s="36"/>
      <c r="M988" s="36"/>
    </row>
    <row r="989" spans="7:13" ht="15.75" customHeight="1">
      <c r="G989" s="11"/>
      <c r="K989" s="36"/>
      <c r="L989" s="36"/>
      <c r="M989" s="36"/>
    </row>
    <row r="990" spans="7:13" ht="15.75" customHeight="1">
      <c r="G990" s="11"/>
      <c r="K990" s="36"/>
      <c r="L990" s="36"/>
      <c r="M990" s="36"/>
    </row>
    <row r="991" spans="7:13" ht="15.75" customHeight="1">
      <c r="G991" s="11"/>
      <c r="K991" s="36"/>
      <c r="L991" s="36"/>
      <c r="M991" s="36"/>
    </row>
    <row r="992" spans="7:13" ht="15.75" customHeight="1">
      <c r="G992" s="11"/>
      <c r="K992" s="36"/>
      <c r="L992" s="36"/>
      <c r="M992" s="36"/>
    </row>
    <row r="993" spans="7:13" ht="15.75" customHeight="1">
      <c r="G993" s="11"/>
      <c r="K993" s="36"/>
      <c r="L993" s="36"/>
      <c r="M993" s="36"/>
    </row>
    <row r="994" spans="7:13" ht="15.75" customHeight="1">
      <c r="G994" s="11"/>
      <c r="K994" s="36"/>
      <c r="L994" s="36"/>
      <c r="M994" s="36"/>
    </row>
    <row r="995" spans="7:13" ht="15.75" customHeight="1">
      <c r="G995" s="11"/>
      <c r="K995" s="36"/>
      <c r="L995" s="36"/>
      <c r="M995" s="36"/>
    </row>
    <row r="996" spans="7:13" ht="15.75" customHeight="1">
      <c r="G996" s="11"/>
      <c r="K996" s="36"/>
      <c r="L996" s="36"/>
      <c r="M996" s="36"/>
    </row>
    <row r="997" spans="7:13" ht="15.75" customHeight="1">
      <c r="G997" s="11"/>
      <c r="K997" s="36"/>
      <c r="L997" s="36"/>
      <c r="M997" s="36"/>
    </row>
    <row r="998" spans="7:13" ht="15.75" customHeight="1">
      <c r="G998" s="11"/>
      <c r="K998" s="36"/>
      <c r="L998" s="36"/>
      <c r="M998" s="36"/>
    </row>
  </sheetData>
  <autoFilter ref="B23:E64" xr:uid="{00000000-0009-0000-0000-000004000000}">
    <sortState xmlns:xlrd2="http://schemas.microsoft.com/office/spreadsheetml/2017/richdata2" ref="B23:E64">
      <sortCondition ref="D23:D64"/>
    </sortState>
  </autoFilter>
  <mergeCells count="1">
    <mergeCell ref="K23:M23"/>
  </mergeCells>
  <conditionalFormatting sqref="K6:M13">
    <cfRule type="expression" dxfId="2" priority="1">
      <formula>#REF!=TRUE</formula>
    </cfRule>
  </conditionalFormatting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X996"/>
  <sheetViews>
    <sheetView zoomScale="85" zoomScaleNormal="85" workbookViewId="0">
      <selection activeCell="F24" sqref="F24"/>
    </sheetView>
  </sheetViews>
  <sheetFormatPr defaultColWidth="12.6328125" defaultRowHeight="15" customHeight="1"/>
  <cols>
    <col min="1" max="1" width="5.26953125" customWidth="1"/>
    <col min="2" max="2" width="9.7265625" customWidth="1"/>
    <col min="3" max="3" width="29.36328125" customWidth="1"/>
    <col min="4" max="4" width="18.6328125" customWidth="1"/>
    <col min="5" max="5" width="10.36328125" customWidth="1"/>
    <col min="6" max="6" width="16.6328125" customWidth="1"/>
    <col min="7" max="7" width="18.08984375" customWidth="1"/>
    <col min="8" max="8" width="13.26953125" customWidth="1"/>
    <col min="9" max="9" width="11.6328125" customWidth="1"/>
    <col min="10" max="10" width="7.26953125" customWidth="1"/>
    <col min="11" max="11" width="26.90625" customWidth="1"/>
    <col min="12" max="13" width="23.6328125" customWidth="1"/>
    <col min="14" max="14" width="26.26953125" customWidth="1"/>
    <col min="15" max="28" width="8.6328125" customWidth="1"/>
  </cols>
  <sheetData>
    <row r="1" spans="3:13" ht="14.5">
      <c r="G1" s="11"/>
      <c r="K1" s="36"/>
      <c r="L1" s="36"/>
      <c r="M1" s="36"/>
    </row>
    <row r="2" spans="3:13" ht="14.5">
      <c r="C2" s="10" t="s">
        <v>80</v>
      </c>
      <c r="D2" s="47">
        <v>11</v>
      </c>
      <c r="G2" s="11"/>
      <c r="K2" s="36"/>
      <c r="L2" s="36"/>
      <c r="M2" s="36"/>
    </row>
    <row r="3" spans="3:13" ht="14.5">
      <c r="C3" s="24" t="s">
        <v>81</v>
      </c>
      <c r="D3" s="47">
        <v>2025</v>
      </c>
      <c r="G3" s="11"/>
      <c r="K3" s="36"/>
      <c r="L3" s="36"/>
      <c r="M3" s="36"/>
    </row>
    <row r="4" spans="3:13" ht="14.5">
      <c r="C4" s="24" t="s">
        <v>82</v>
      </c>
      <c r="D4" s="47" t="str">
        <f>D3&amp;TEXT(D2, "00")</f>
        <v>202511</v>
      </c>
      <c r="G4" s="11"/>
      <c r="K4" s="36"/>
      <c r="L4" s="36"/>
      <c r="M4" s="36"/>
    </row>
    <row r="5" spans="3:13" ht="14.5">
      <c r="C5" s="10" t="s">
        <v>83</v>
      </c>
      <c r="D5" s="48">
        <v>1534.13</v>
      </c>
      <c r="G5" s="11"/>
      <c r="K5" s="24" t="s">
        <v>99</v>
      </c>
    </row>
    <row r="6" spans="3:13" ht="14.5">
      <c r="G6" s="11"/>
      <c r="K6" s="49" t="s">
        <v>38</v>
      </c>
      <c r="L6" s="33">
        <v>4</v>
      </c>
      <c r="M6" s="34">
        <v>353.71</v>
      </c>
    </row>
    <row r="7" spans="3:13" ht="14.5">
      <c r="G7" s="11"/>
      <c r="K7" s="49" t="s">
        <v>40</v>
      </c>
      <c r="L7" s="33">
        <v>15</v>
      </c>
      <c r="M7" s="34">
        <v>175</v>
      </c>
    </row>
    <row r="8" spans="3:13" ht="14.5">
      <c r="G8" s="11"/>
      <c r="K8" s="49" t="s">
        <v>19</v>
      </c>
      <c r="L8" s="50">
        <v>15</v>
      </c>
      <c r="M8" s="51">
        <v>120</v>
      </c>
    </row>
    <row r="9" spans="3:13" ht="14.5">
      <c r="G9" s="11"/>
      <c r="K9" s="49" t="s">
        <v>23</v>
      </c>
      <c r="L9" s="50">
        <v>15</v>
      </c>
      <c r="M9" s="51">
        <v>181.13</v>
      </c>
    </row>
    <row r="10" spans="3:13" ht="14.5">
      <c r="G10" s="11"/>
      <c r="K10" s="49" t="s">
        <v>43</v>
      </c>
      <c r="L10" s="33">
        <v>15</v>
      </c>
      <c r="M10" s="34">
        <v>82.37</v>
      </c>
    </row>
    <row r="11" spans="3:13" ht="14.5">
      <c r="G11" s="11"/>
      <c r="K11" s="49" t="s">
        <v>41</v>
      </c>
      <c r="L11" s="33">
        <v>18</v>
      </c>
      <c r="M11" s="34">
        <v>102.03</v>
      </c>
    </row>
    <row r="12" spans="3:13" ht="14.5">
      <c r="G12" s="11"/>
      <c r="K12" s="49" t="s">
        <v>76</v>
      </c>
      <c r="L12" s="33">
        <v>21</v>
      </c>
      <c r="M12" s="34">
        <v>595.67999999999995</v>
      </c>
    </row>
    <row r="13" spans="3:13" ht="14.5">
      <c r="G13" s="11"/>
      <c r="K13" s="49" t="s">
        <v>42</v>
      </c>
      <c r="L13" s="33">
        <v>27</v>
      </c>
      <c r="M13" s="34">
        <v>74.95</v>
      </c>
    </row>
    <row r="14" spans="3:13" ht="14.5">
      <c r="G14" s="11"/>
      <c r="K14" s="52" t="s">
        <v>100</v>
      </c>
      <c r="L14" s="53"/>
      <c r="M14" s="54"/>
    </row>
    <row r="15" spans="3:13" ht="14.5">
      <c r="G15" s="11"/>
      <c r="K15" s="55" t="s">
        <v>30</v>
      </c>
      <c r="L15" s="55">
        <v>1</v>
      </c>
      <c r="M15" s="56">
        <v>146.54</v>
      </c>
    </row>
    <row r="16" spans="3:13" ht="14.5">
      <c r="G16" s="11"/>
      <c r="K16" s="57" t="s">
        <v>35</v>
      </c>
      <c r="L16" s="57">
        <v>5</v>
      </c>
      <c r="M16" s="56">
        <v>10.64</v>
      </c>
    </row>
    <row r="17" spans="2:19" ht="14.5">
      <c r="G17" s="11"/>
      <c r="K17" s="58" t="s">
        <v>36</v>
      </c>
      <c r="L17" s="59">
        <v>16</v>
      </c>
      <c r="M17" s="60">
        <v>18</v>
      </c>
    </row>
    <row r="18" spans="2:19" ht="14.5">
      <c r="G18" s="11"/>
      <c r="K18" s="55" t="s">
        <v>31</v>
      </c>
      <c r="L18" s="55">
        <v>18</v>
      </c>
      <c r="M18" s="61">
        <v>33.159999999999997</v>
      </c>
    </row>
    <row r="19" spans="2:19" ht="14.5">
      <c r="G19" s="11"/>
      <c r="K19" s="55" t="s">
        <v>75</v>
      </c>
      <c r="L19" s="57">
        <v>15</v>
      </c>
      <c r="M19" s="61">
        <v>95.95</v>
      </c>
    </row>
    <row r="20" spans="2:19" ht="14.5">
      <c r="G20" s="11"/>
      <c r="K20" s="36"/>
      <c r="L20" s="36"/>
      <c r="M20" s="36"/>
    </row>
    <row r="21" spans="2:19" ht="14.5">
      <c r="G21" s="11"/>
      <c r="K21" s="36"/>
      <c r="L21" s="36"/>
      <c r="M21" s="36"/>
    </row>
    <row r="22" spans="2:19" ht="14.5">
      <c r="G22" s="11"/>
      <c r="K22" s="36"/>
      <c r="L22" s="36"/>
      <c r="M22" s="36"/>
    </row>
    <row r="23" spans="2:19" ht="15.75" customHeight="1">
      <c r="B23" s="24" t="s">
        <v>86</v>
      </c>
      <c r="C23" s="62" t="s">
        <v>4</v>
      </c>
      <c r="D23" s="62" t="s">
        <v>5</v>
      </c>
      <c r="E23" s="62" t="s">
        <v>6</v>
      </c>
      <c r="F23" s="62" t="s">
        <v>7</v>
      </c>
      <c r="G23" s="63" t="s">
        <v>8</v>
      </c>
      <c r="H23" s="62" t="s">
        <v>87</v>
      </c>
      <c r="J23" s="64"/>
      <c r="K23" s="108" t="s">
        <v>88</v>
      </c>
      <c r="L23" s="109"/>
      <c r="M23" s="109"/>
    </row>
    <row r="24" spans="2:19" ht="15.75" customHeight="1">
      <c r="B24" s="10" t="b">
        <v>0</v>
      </c>
      <c r="C24" s="90" t="s">
        <v>30</v>
      </c>
      <c r="D24" s="90">
        <v>1</v>
      </c>
      <c r="E24" s="91">
        <v>146.54</v>
      </c>
      <c r="F24" s="25">
        <f t="shared" ref="F24:F62" ca="1" si="0">IF($B24=TRUE, 0, IF(ISERROR(MATCH(C24, INDIRECT("'"&amp;$D$4&amp;"'!$B$8:$B$12"), 0)), -1*E24,E24))</f>
        <v>-146.54</v>
      </c>
      <c r="G24" s="11">
        <f t="shared" ref="G24:G62" si="1">DATE(2025, $D$2, $D24)</f>
        <v>45962</v>
      </c>
      <c r="H24" s="66">
        <f ca="1">$D$5+F24</f>
        <v>1387.5900000000001</v>
      </c>
      <c r="K24" s="67" t="s">
        <v>89</v>
      </c>
      <c r="L24" s="67" t="s">
        <v>90</v>
      </c>
      <c r="M24" s="67" t="s">
        <v>91</v>
      </c>
      <c r="N24" s="65"/>
      <c r="O24" s="68"/>
      <c r="P24" s="69"/>
    </row>
    <row r="25" spans="2:19" ht="15.75" customHeight="1">
      <c r="B25" s="10" t="b">
        <v>0</v>
      </c>
      <c r="C25" s="92" t="s">
        <v>35</v>
      </c>
      <c r="D25" s="92">
        <v>1</v>
      </c>
      <c r="E25" s="91">
        <v>10.64</v>
      </c>
      <c r="F25" s="25">
        <f t="shared" ca="1" si="0"/>
        <v>-10.64</v>
      </c>
      <c r="G25" s="11">
        <f t="shared" si="1"/>
        <v>45962</v>
      </c>
      <c r="H25" s="66">
        <f t="shared" ref="H25:H62" ca="1" si="2">H24+F25</f>
        <v>1376.95</v>
      </c>
      <c r="K25" s="70" t="s">
        <v>15</v>
      </c>
      <c r="L25" s="71">
        <v>7700</v>
      </c>
      <c r="M25" s="72">
        <v>0.21240000000000001</v>
      </c>
      <c r="N25" s="73"/>
      <c r="O25" s="74"/>
    </row>
    <row r="26" spans="2:19" ht="15.75" customHeight="1">
      <c r="B26" s="10" t="b">
        <v>0</v>
      </c>
      <c r="C26" s="90" t="s">
        <v>31</v>
      </c>
      <c r="D26" s="92">
        <v>1</v>
      </c>
      <c r="E26" s="93">
        <v>33.159999999999997</v>
      </c>
      <c r="F26" s="25">
        <f t="shared" ca="1" si="0"/>
        <v>-33.159999999999997</v>
      </c>
      <c r="G26" s="11">
        <f t="shared" si="1"/>
        <v>45962</v>
      </c>
      <c r="H26" s="66">
        <f t="shared" ca="1" si="2"/>
        <v>1343.79</v>
      </c>
      <c r="J26" s="10" t="b">
        <v>0</v>
      </c>
      <c r="K26" s="75">
        <v>1000</v>
      </c>
      <c r="L26" s="76">
        <f t="shared" ref="L26:L30" si="3">L25-K26</f>
        <v>6700</v>
      </c>
      <c r="M26" s="36"/>
      <c r="N26" s="77"/>
    </row>
    <row r="27" spans="2:19" ht="15.75" customHeight="1">
      <c r="B27" s="10" t="b">
        <v>0</v>
      </c>
      <c r="C27" s="94" t="s">
        <v>36</v>
      </c>
      <c r="D27" s="95">
        <v>1</v>
      </c>
      <c r="E27" s="96">
        <v>18</v>
      </c>
      <c r="F27" s="25">
        <f t="shared" ca="1" si="0"/>
        <v>-18</v>
      </c>
      <c r="G27" s="11">
        <f t="shared" si="1"/>
        <v>45962</v>
      </c>
      <c r="H27" s="66">
        <f t="shared" ca="1" si="2"/>
        <v>1325.79</v>
      </c>
      <c r="J27" s="10" t="b">
        <v>0</v>
      </c>
      <c r="K27" s="75">
        <v>1000</v>
      </c>
      <c r="L27" s="76">
        <f t="shared" si="3"/>
        <v>5700</v>
      </c>
      <c r="M27" s="36"/>
      <c r="Q27" s="78"/>
      <c r="R27" s="79"/>
    </row>
    <row r="28" spans="2:19" ht="15.75" customHeight="1">
      <c r="B28" s="10" t="b">
        <v>0</v>
      </c>
      <c r="C28" s="32" t="s">
        <v>38</v>
      </c>
      <c r="D28" s="97">
        <v>1</v>
      </c>
      <c r="E28" s="98">
        <v>353.71</v>
      </c>
      <c r="F28" s="25">
        <f t="shared" ca="1" si="0"/>
        <v>-353.71</v>
      </c>
      <c r="G28" s="11">
        <f t="shared" si="1"/>
        <v>45962</v>
      </c>
      <c r="H28" s="66">
        <f t="shared" ca="1" si="2"/>
        <v>972.07999999999993</v>
      </c>
      <c r="J28" s="10" t="b">
        <v>0</v>
      </c>
      <c r="K28" s="75">
        <v>1000</v>
      </c>
      <c r="L28" s="76">
        <f t="shared" si="3"/>
        <v>4700</v>
      </c>
      <c r="M28" s="36"/>
      <c r="N28" s="24"/>
      <c r="Q28" s="78"/>
      <c r="R28" s="79"/>
      <c r="S28" s="80"/>
    </row>
    <row r="29" spans="2:19" ht="15.75" customHeight="1">
      <c r="B29" s="10" t="b">
        <v>0</v>
      </c>
      <c r="C29" s="10" t="s">
        <v>26</v>
      </c>
      <c r="D29" s="24">
        <v>1</v>
      </c>
      <c r="E29" s="25">
        <f>268.44</f>
        <v>268.44</v>
      </c>
      <c r="F29" s="25">
        <f t="shared" ca="1" si="0"/>
        <v>-268.44</v>
      </c>
      <c r="G29" s="11">
        <f t="shared" si="1"/>
        <v>45962</v>
      </c>
      <c r="H29" s="66">
        <f t="shared" ca="1" si="2"/>
        <v>703.63999999999987</v>
      </c>
      <c r="J29" s="10" t="b">
        <v>0</v>
      </c>
      <c r="K29" s="75">
        <v>1000</v>
      </c>
      <c r="L29" s="76">
        <f t="shared" si="3"/>
        <v>3700</v>
      </c>
      <c r="M29" s="36"/>
      <c r="Q29" s="78"/>
      <c r="R29" s="79"/>
    </row>
    <row r="30" spans="2:19" ht="15.75" customHeight="1">
      <c r="B30" s="10" t="b">
        <v>0</v>
      </c>
      <c r="C30" s="10" t="s">
        <v>16</v>
      </c>
      <c r="D30" s="24">
        <v>4</v>
      </c>
      <c r="E30" s="65">
        <v>0</v>
      </c>
      <c r="F30" s="25">
        <f t="shared" ca="1" si="0"/>
        <v>0</v>
      </c>
      <c r="G30" s="11">
        <f t="shared" si="1"/>
        <v>45965</v>
      </c>
      <c r="H30" s="66">
        <f t="shared" ca="1" si="2"/>
        <v>703.63999999999987</v>
      </c>
      <c r="J30" s="10" t="b">
        <v>0</v>
      </c>
      <c r="K30" s="75">
        <v>1000</v>
      </c>
      <c r="L30" s="76">
        <f t="shared" si="3"/>
        <v>2700</v>
      </c>
      <c r="M30" s="36"/>
      <c r="Q30" s="65"/>
      <c r="R30" s="73"/>
    </row>
    <row r="31" spans="2:19" ht="15.75" customHeight="1">
      <c r="B31" s="10" t="b">
        <v>0</v>
      </c>
      <c r="C31" s="10" t="s">
        <v>50</v>
      </c>
      <c r="D31" s="10">
        <v>6</v>
      </c>
      <c r="E31" s="25">
        <v>32.869999999999997</v>
      </c>
      <c r="F31" s="25">
        <f t="shared" ca="1" si="0"/>
        <v>-32.869999999999997</v>
      </c>
      <c r="G31" s="11">
        <f t="shared" si="1"/>
        <v>45967</v>
      </c>
      <c r="H31" s="66">
        <f t="shared" ca="1" si="2"/>
        <v>670.76999999999987</v>
      </c>
      <c r="J31" s="24"/>
      <c r="K31" s="70" t="s">
        <v>20</v>
      </c>
      <c r="L31" s="71">
        <v>6246.15</v>
      </c>
      <c r="M31" s="72">
        <v>0</v>
      </c>
      <c r="N31" s="69" t="s">
        <v>92</v>
      </c>
      <c r="Q31" s="78"/>
      <c r="R31" s="79"/>
    </row>
    <row r="32" spans="2:19" ht="15.75" customHeight="1">
      <c r="B32" s="10" t="b">
        <v>0</v>
      </c>
      <c r="C32" s="10" t="s">
        <v>45</v>
      </c>
      <c r="D32" s="24">
        <v>7</v>
      </c>
      <c r="E32" s="65">
        <v>250</v>
      </c>
      <c r="F32" s="25">
        <f t="shared" ca="1" si="0"/>
        <v>-250</v>
      </c>
      <c r="G32" s="11">
        <f t="shared" si="1"/>
        <v>45968</v>
      </c>
      <c r="H32" s="66">
        <f t="shared" ca="1" si="2"/>
        <v>420.76999999999987</v>
      </c>
      <c r="J32" s="10" t="b">
        <v>0</v>
      </c>
      <c r="K32" s="81">
        <v>1000</v>
      </c>
      <c r="L32" s="76">
        <f t="shared" ref="L32:L38" si="4">L31-K32</f>
        <v>5246.15</v>
      </c>
      <c r="M32" s="36"/>
      <c r="Q32" s="65"/>
      <c r="R32" s="73"/>
    </row>
    <row r="33" spans="2:24" ht="15.75" customHeight="1">
      <c r="B33" s="10" t="b">
        <v>0</v>
      </c>
      <c r="C33" s="10" t="s">
        <v>33</v>
      </c>
      <c r="D33" s="10">
        <v>10</v>
      </c>
      <c r="E33" s="25">
        <v>80</v>
      </c>
      <c r="F33" s="25">
        <f t="shared" ca="1" si="0"/>
        <v>-80</v>
      </c>
      <c r="G33" s="11">
        <f t="shared" si="1"/>
        <v>45971</v>
      </c>
      <c r="H33" s="66">
        <f t="shared" ca="1" si="2"/>
        <v>340.76999999999987</v>
      </c>
      <c r="J33" s="10" t="b">
        <v>0</v>
      </c>
      <c r="K33" s="81">
        <v>1000</v>
      </c>
      <c r="L33" s="76">
        <f t="shared" si="4"/>
        <v>4246.1499999999996</v>
      </c>
      <c r="M33" s="36"/>
      <c r="Q33" s="65"/>
      <c r="R33" s="73"/>
    </row>
    <row r="34" spans="2:24" ht="15.75" customHeight="1">
      <c r="B34" s="10" t="b">
        <v>0</v>
      </c>
      <c r="C34" s="10" t="s">
        <v>20</v>
      </c>
      <c r="D34" s="24">
        <v>13</v>
      </c>
      <c r="E34" s="65">
        <v>62</v>
      </c>
      <c r="F34" s="25">
        <f t="shared" ca="1" si="0"/>
        <v>-62</v>
      </c>
      <c r="G34" s="11">
        <f t="shared" si="1"/>
        <v>45974</v>
      </c>
      <c r="H34" s="66">
        <f t="shared" ca="1" si="2"/>
        <v>278.76999999999987</v>
      </c>
      <c r="J34" s="10" t="b">
        <v>0</v>
      </c>
      <c r="K34" s="81">
        <v>1000</v>
      </c>
      <c r="L34" s="76">
        <f t="shared" si="4"/>
        <v>3246.1499999999996</v>
      </c>
      <c r="M34" s="36"/>
      <c r="Q34" s="24"/>
      <c r="V34" s="65"/>
      <c r="W34" s="65"/>
      <c r="X34" s="74"/>
    </row>
    <row r="35" spans="2:24" ht="15.75" customHeight="1">
      <c r="B35" s="10" t="b">
        <v>0</v>
      </c>
      <c r="C35" s="99" t="s">
        <v>9</v>
      </c>
      <c r="D35" s="99">
        <v>14</v>
      </c>
      <c r="E35" s="100">
        <v>-3205.07</v>
      </c>
      <c r="F35" s="25">
        <f t="shared" ca="1" si="0"/>
        <v>3205.07</v>
      </c>
      <c r="G35" s="11">
        <f t="shared" si="1"/>
        <v>45975</v>
      </c>
      <c r="H35" s="66">
        <f t="shared" ca="1" si="2"/>
        <v>3483.84</v>
      </c>
      <c r="J35" s="10" t="b">
        <v>0</v>
      </c>
      <c r="K35" s="81">
        <v>1000</v>
      </c>
      <c r="L35" s="76">
        <f t="shared" si="4"/>
        <v>2246.1499999999996</v>
      </c>
      <c r="M35" s="36"/>
      <c r="Q35" s="24"/>
      <c r="X35" s="74"/>
    </row>
    <row r="36" spans="2:24" ht="15.75" customHeight="1">
      <c r="B36" s="10" t="b">
        <v>0</v>
      </c>
      <c r="C36" s="10" t="s">
        <v>45</v>
      </c>
      <c r="D36" s="24">
        <v>14</v>
      </c>
      <c r="E36" s="65">
        <v>0</v>
      </c>
      <c r="F36" s="25">
        <f t="shared" ca="1" si="0"/>
        <v>0</v>
      </c>
      <c r="G36" s="11">
        <f t="shared" si="1"/>
        <v>45975</v>
      </c>
      <c r="H36" s="66">
        <f t="shared" ca="1" si="2"/>
        <v>3483.84</v>
      </c>
      <c r="J36" s="10" t="b">
        <v>0</v>
      </c>
      <c r="K36" s="81">
        <v>1000</v>
      </c>
      <c r="L36" s="76">
        <f t="shared" si="4"/>
        <v>1246.1499999999996</v>
      </c>
      <c r="M36" s="36"/>
      <c r="V36" s="65"/>
      <c r="W36" s="65"/>
      <c r="X36" s="74"/>
    </row>
    <row r="37" spans="2:24" ht="15.75" customHeight="1">
      <c r="B37" s="10" t="b">
        <v>0</v>
      </c>
      <c r="C37" s="10" t="s">
        <v>51</v>
      </c>
      <c r="D37" s="24">
        <v>14</v>
      </c>
      <c r="E37" s="25">
        <v>105.29</v>
      </c>
      <c r="F37" s="25">
        <f t="shared" ca="1" si="0"/>
        <v>-105.29</v>
      </c>
      <c r="G37" s="11">
        <f t="shared" si="1"/>
        <v>45975</v>
      </c>
      <c r="H37" s="66">
        <f t="shared" ca="1" si="2"/>
        <v>3378.55</v>
      </c>
      <c r="K37" s="81">
        <v>1000</v>
      </c>
      <c r="L37" s="76">
        <f t="shared" si="4"/>
        <v>246.14999999999964</v>
      </c>
      <c r="X37" s="74"/>
    </row>
    <row r="38" spans="2:24" ht="15.75" customHeight="1">
      <c r="B38" s="10" t="b">
        <v>0</v>
      </c>
      <c r="C38" s="10" t="s">
        <v>53</v>
      </c>
      <c r="D38" s="10">
        <v>14</v>
      </c>
      <c r="E38" s="25">
        <v>14.99</v>
      </c>
      <c r="F38" s="25">
        <f t="shared" ca="1" si="0"/>
        <v>-14.99</v>
      </c>
      <c r="G38" s="11">
        <f t="shared" si="1"/>
        <v>45975</v>
      </c>
      <c r="H38" s="66">
        <f t="shared" ca="1" si="2"/>
        <v>3363.5600000000004</v>
      </c>
      <c r="K38" s="81">
        <f>L37</f>
        <v>246.14999999999964</v>
      </c>
      <c r="L38" s="76">
        <f t="shared" si="4"/>
        <v>0</v>
      </c>
    </row>
    <row r="39" spans="2:24" ht="15.75" customHeight="1">
      <c r="B39" s="10" t="b">
        <v>0</v>
      </c>
      <c r="C39" s="32" t="s">
        <v>19</v>
      </c>
      <c r="D39" s="32">
        <v>14</v>
      </c>
      <c r="E39" s="98">
        <v>120</v>
      </c>
      <c r="F39" s="25">
        <f t="shared" ca="1" si="0"/>
        <v>-120</v>
      </c>
      <c r="G39" s="11">
        <f t="shared" si="1"/>
        <v>45975</v>
      </c>
      <c r="H39" s="66">
        <f t="shared" ca="1" si="2"/>
        <v>3243.5600000000004</v>
      </c>
      <c r="K39" s="82" t="s">
        <v>19</v>
      </c>
      <c r="L39" s="71">
        <v>11685.1</v>
      </c>
      <c r="M39" s="72">
        <v>0</v>
      </c>
      <c r="N39" s="69" t="s">
        <v>93</v>
      </c>
    </row>
    <row r="40" spans="2:24" ht="15.75" customHeight="1">
      <c r="B40" s="10" t="b">
        <v>0</v>
      </c>
      <c r="C40" s="32" t="s">
        <v>23</v>
      </c>
      <c r="D40" s="32">
        <v>14</v>
      </c>
      <c r="E40" s="98">
        <v>181.13</v>
      </c>
      <c r="F40" s="25">
        <f t="shared" ca="1" si="0"/>
        <v>-181.13</v>
      </c>
      <c r="G40" s="11">
        <f t="shared" si="1"/>
        <v>45975</v>
      </c>
      <c r="H40" s="66">
        <f t="shared" ca="1" si="2"/>
        <v>3062.4300000000003</v>
      </c>
      <c r="J40" s="10" t="b">
        <v>0</v>
      </c>
      <c r="K40" s="75">
        <v>1000</v>
      </c>
      <c r="L40" s="76">
        <f t="shared" ref="L40:L45" si="5">L39-K40</f>
        <v>10685.1</v>
      </c>
    </row>
    <row r="41" spans="2:24" ht="15.75" customHeight="1">
      <c r="B41" s="10" t="b">
        <v>0</v>
      </c>
      <c r="C41" s="97" t="s">
        <v>40</v>
      </c>
      <c r="D41" s="32">
        <v>14</v>
      </c>
      <c r="E41" s="101">
        <v>175</v>
      </c>
      <c r="F41" s="25">
        <f t="shared" ca="1" si="0"/>
        <v>-175</v>
      </c>
      <c r="G41" s="11">
        <f t="shared" si="1"/>
        <v>45975</v>
      </c>
      <c r="H41" s="66">
        <f t="shared" ca="1" si="2"/>
        <v>2887.4300000000003</v>
      </c>
      <c r="J41" s="10" t="b">
        <v>0</v>
      </c>
      <c r="K41" s="75">
        <v>1000</v>
      </c>
      <c r="L41" s="76">
        <f t="shared" si="5"/>
        <v>9685.1</v>
      </c>
    </row>
    <row r="42" spans="2:24" ht="15.75" customHeight="1">
      <c r="B42" s="10" t="b">
        <v>0</v>
      </c>
      <c r="C42" s="102" t="s">
        <v>41</v>
      </c>
      <c r="D42" s="32">
        <v>14</v>
      </c>
      <c r="E42" s="103">
        <v>102.03</v>
      </c>
      <c r="F42" s="25">
        <f t="shared" ca="1" si="0"/>
        <v>-102.03</v>
      </c>
      <c r="G42" s="11">
        <f t="shared" si="1"/>
        <v>45975</v>
      </c>
      <c r="H42" s="66">
        <f t="shared" ca="1" si="2"/>
        <v>2785.4</v>
      </c>
      <c r="J42" s="10" t="b">
        <v>0</v>
      </c>
      <c r="K42" s="75">
        <v>1000</v>
      </c>
      <c r="L42" s="76">
        <f t="shared" si="5"/>
        <v>8685.1</v>
      </c>
      <c r="M42" s="85"/>
    </row>
    <row r="43" spans="2:24" ht="15.75" customHeight="1">
      <c r="B43" s="10" t="b">
        <v>0</v>
      </c>
      <c r="C43" s="90" t="s">
        <v>75</v>
      </c>
      <c r="D43" s="90">
        <v>14</v>
      </c>
      <c r="E43" s="93">
        <v>95.95</v>
      </c>
      <c r="F43" s="25">
        <f t="shared" ca="1" si="0"/>
        <v>-95.95</v>
      </c>
      <c r="G43" s="11">
        <f t="shared" si="1"/>
        <v>45975</v>
      </c>
      <c r="H43" s="66">
        <f t="shared" ca="1" si="2"/>
        <v>2689.4500000000003</v>
      </c>
      <c r="J43" s="10" t="b">
        <v>0</v>
      </c>
      <c r="K43" s="75">
        <v>1000</v>
      </c>
      <c r="L43" s="76">
        <f t="shared" si="5"/>
        <v>7685.1</v>
      </c>
    </row>
    <row r="44" spans="2:24" ht="14.5">
      <c r="B44" s="10" t="b">
        <v>0</v>
      </c>
      <c r="C44" s="32" t="s">
        <v>42</v>
      </c>
      <c r="D44" s="32">
        <v>14</v>
      </c>
      <c r="E44" s="98">
        <v>74.95</v>
      </c>
      <c r="F44" s="25">
        <f t="shared" ca="1" si="0"/>
        <v>-74.95</v>
      </c>
      <c r="G44" s="11">
        <f t="shared" si="1"/>
        <v>45975</v>
      </c>
      <c r="H44" s="66">
        <f t="shared" ca="1" si="2"/>
        <v>2614.5000000000005</v>
      </c>
      <c r="J44" s="10" t="b">
        <v>0</v>
      </c>
      <c r="K44" s="75">
        <v>1000</v>
      </c>
      <c r="L44" s="76">
        <f t="shared" si="5"/>
        <v>6685.1</v>
      </c>
      <c r="M44" s="36"/>
    </row>
    <row r="45" spans="2:24" ht="15.75" customHeight="1">
      <c r="B45" s="10" t="b">
        <v>0</v>
      </c>
      <c r="C45" s="32" t="s">
        <v>43</v>
      </c>
      <c r="D45" s="32">
        <v>14</v>
      </c>
      <c r="E45" s="101">
        <v>82.37</v>
      </c>
      <c r="F45" s="25">
        <f t="shared" ca="1" si="0"/>
        <v>-82.37</v>
      </c>
      <c r="G45" s="11">
        <f t="shared" si="1"/>
        <v>45975</v>
      </c>
      <c r="H45" s="66">
        <f t="shared" ca="1" si="2"/>
        <v>2532.1300000000006</v>
      </c>
      <c r="J45" s="10" t="b">
        <v>0</v>
      </c>
      <c r="K45" s="75">
        <v>1000</v>
      </c>
      <c r="L45" s="76">
        <f t="shared" si="5"/>
        <v>5685.1</v>
      </c>
      <c r="M45" s="85"/>
    </row>
    <row r="46" spans="2:24" ht="15.75" customHeight="1">
      <c r="B46" s="10" t="b">
        <v>0</v>
      </c>
      <c r="C46" s="20" t="s">
        <v>56</v>
      </c>
      <c r="D46" s="83">
        <v>14</v>
      </c>
      <c r="E46" s="66">
        <v>14.14</v>
      </c>
      <c r="F46" s="25">
        <f t="shared" ca="1" si="0"/>
        <v>-14.14</v>
      </c>
      <c r="G46" s="11">
        <f t="shared" si="1"/>
        <v>45975</v>
      </c>
      <c r="H46" s="66">
        <f t="shared" ca="1" si="2"/>
        <v>2517.9900000000007</v>
      </c>
      <c r="K46" s="82" t="s">
        <v>23</v>
      </c>
      <c r="L46" s="71">
        <v>3877.83</v>
      </c>
      <c r="M46" s="72">
        <v>0.1888</v>
      </c>
    </row>
    <row r="47" spans="2:24" ht="15.75" customHeight="1">
      <c r="B47" s="10" t="b">
        <v>0</v>
      </c>
      <c r="C47" s="32" t="s">
        <v>76</v>
      </c>
      <c r="D47" s="97">
        <v>14</v>
      </c>
      <c r="E47" s="101">
        <v>595.67999999999995</v>
      </c>
      <c r="F47" s="25">
        <f t="shared" ca="1" si="0"/>
        <v>-595.67999999999995</v>
      </c>
      <c r="G47" s="11">
        <f t="shared" si="1"/>
        <v>45975</v>
      </c>
      <c r="H47" s="66">
        <f t="shared" ca="1" si="2"/>
        <v>1922.3100000000009</v>
      </c>
      <c r="J47" s="10" t="b">
        <v>0</v>
      </c>
      <c r="K47" s="75">
        <v>1000</v>
      </c>
      <c r="L47" s="76">
        <f t="shared" ref="L47:L50" si="6">L46-K47</f>
        <v>2877.83</v>
      </c>
      <c r="M47" s="36"/>
    </row>
    <row r="48" spans="2:24" ht="15.75" customHeight="1">
      <c r="B48" s="10" t="b">
        <v>0</v>
      </c>
      <c r="C48" s="86" t="s">
        <v>101</v>
      </c>
      <c r="D48" s="86">
        <v>15</v>
      </c>
      <c r="E48" s="104">
        <v>400</v>
      </c>
      <c r="F48" s="25">
        <f t="shared" ca="1" si="0"/>
        <v>-400</v>
      </c>
      <c r="G48" s="11">
        <f t="shared" si="1"/>
        <v>45976</v>
      </c>
      <c r="H48" s="66">
        <f t="shared" ca="1" si="2"/>
        <v>1522.3100000000009</v>
      </c>
      <c r="J48" s="10" t="b">
        <v>0</v>
      </c>
      <c r="K48" s="75">
        <v>1000</v>
      </c>
      <c r="L48" s="76">
        <f t="shared" si="6"/>
        <v>1877.83</v>
      </c>
      <c r="M48" s="85"/>
    </row>
    <row r="49" spans="2:14" ht="15.75" customHeight="1">
      <c r="B49" s="10" t="b">
        <v>0</v>
      </c>
      <c r="C49" s="86" t="s">
        <v>102</v>
      </c>
      <c r="D49" s="86">
        <v>15</v>
      </c>
      <c r="E49" s="104">
        <v>500</v>
      </c>
      <c r="F49" s="25">
        <f t="shared" ca="1" si="0"/>
        <v>-500</v>
      </c>
      <c r="G49" s="11">
        <f t="shared" si="1"/>
        <v>45976</v>
      </c>
      <c r="H49" s="66">
        <f t="shared" ca="1" si="2"/>
        <v>1022.3100000000009</v>
      </c>
      <c r="J49" s="10" t="b">
        <v>0</v>
      </c>
      <c r="K49" s="75">
        <v>1000</v>
      </c>
      <c r="L49" s="76">
        <f t="shared" si="6"/>
        <v>877.82999999999993</v>
      </c>
    </row>
    <row r="50" spans="2:14" ht="15.75" customHeight="1">
      <c r="B50" s="10" t="b">
        <v>0</v>
      </c>
      <c r="C50" s="86" t="s">
        <v>96</v>
      </c>
      <c r="D50" s="86">
        <v>15</v>
      </c>
      <c r="E50" s="104">
        <v>500</v>
      </c>
      <c r="F50" s="25">
        <f t="shared" ca="1" si="0"/>
        <v>-500</v>
      </c>
      <c r="G50" s="11">
        <f t="shared" si="1"/>
        <v>45976</v>
      </c>
      <c r="H50" s="66">
        <f t="shared" ca="1" si="2"/>
        <v>522.31000000000085</v>
      </c>
      <c r="J50" s="10" t="b">
        <v>0</v>
      </c>
      <c r="K50" s="75">
        <v>877.83</v>
      </c>
      <c r="L50" s="76">
        <f t="shared" si="6"/>
        <v>0</v>
      </c>
      <c r="M50" s="36"/>
    </row>
    <row r="51" spans="2:14" ht="15.75" customHeight="1">
      <c r="B51" s="10" t="b">
        <v>0</v>
      </c>
      <c r="C51" s="10" t="s">
        <v>46</v>
      </c>
      <c r="D51" s="24">
        <v>16</v>
      </c>
      <c r="E51" s="25">
        <v>30</v>
      </c>
      <c r="F51" s="25">
        <f t="shared" ca="1" si="0"/>
        <v>-30</v>
      </c>
      <c r="G51" s="11">
        <f t="shared" si="1"/>
        <v>45977</v>
      </c>
      <c r="H51" s="66">
        <f t="shared" ca="1" si="2"/>
        <v>492.31000000000085</v>
      </c>
      <c r="K51" s="54"/>
      <c r="L51" s="54"/>
      <c r="M51" s="87"/>
      <c r="N51" s="38"/>
    </row>
    <row r="52" spans="2:14" ht="15.75" customHeight="1">
      <c r="B52" s="10" t="b">
        <v>0</v>
      </c>
      <c r="C52" s="10" t="s">
        <v>47</v>
      </c>
      <c r="D52" s="10">
        <v>16</v>
      </c>
      <c r="E52" s="65">
        <v>50</v>
      </c>
      <c r="F52" s="25">
        <f t="shared" ca="1" si="0"/>
        <v>-50</v>
      </c>
      <c r="G52" s="11">
        <f t="shared" si="1"/>
        <v>45977</v>
      </c>
      <c r="H52" s="66">
        <f t="shared" ca="1" si="2"/>
        <v>442.31000000000085</v>
      </c>
      <c r="K52" s="76"/>
      <c r="L52" s="85"/>
      <c r="M52" s="85"/>
    </row>
    <row r="53" spans="2:14" ht="15.75" customHeight="1">
      <c r="B53" s="10" t="b">
        <v>0</v>
      </c>
      <c r="C53" s="10" t="s">
        <v>59</v>
      </c>
      <c r="D53" s="10">
        <v>16</v>
      </c>
      <c r="E53" s="25">
        <v>20.2</v>
      </c>
      <c r="F53" s="25">
        <f t="shared" ca="1" si="0"/>
        <v>-20.2</v>
      </c>
      <c r="G53" s="11">
        <f t="shared" si="1"/>
        <v>45977</v>
      </c>
      <c r="H53" s="66">
        <f t="shared" ca="1" si="2"/>
        <v>422.11000000000087</v>
      </c>
      <c r="K53" s="76"/>
      <c r="L53" s="85"/>
      <c r="M53" s="85"/>
    </row>
    <row r="54" spans="2:14" ht="15.75" customHeight="1">
      <c r="B54" s="10" t="b">
        <v>0</v>
      </c>
      <c r="C54" s="10" t="s">
        <v>45</v>
      </c>
      <c r="D54" s="24">
        <v>21</v>
      </c>
      <c r="E54" s="65">
        <v>250</v>
      </c>
      <c r="F54" s="25">
        <f t="shared" ca="1" si="0"/>
        <v>-250</v>
      </c>
      <c r="G54" s="11">
        <f t="shared" si="1"/>
        <v>45982</v>
      </c>
      <c r="H54" s="66">
        <f t="shared" ca="1" si="2"/>
        <v>172.11000000000087</v>
      </c>
      <c r="K54" s="76"/>
      <c r="L54" s="85"/>
      <c r="M54" s="85"/>
    </row>
    <row r="55" spans="2:14" ht="15.75" customHeight="1">
      <c r="B55" s="10" t="b">
        <v>0</v>
      </c>
      <c r="C55" s="10" t="s">
        <v>57</v>
      </c>
      <c r="D55" s="10">
        <v>23</v>
      </c>
      <c r="E55" s="25">
        <v>19.3</v>
      </c>
      <c r="F55" s="25">
        <f t="shared" ca="1" si="0"/>
        <v>-19.3</v>
      </c>
      <c r="G55" s="11">
        <f t="shared" si="1"/>
        <v>45984</v>
      </c>
      <c r="H55" s="66">
        <f t="shared" ca="1" si="2"/>
        <v>152.81000000000085</v>
      </c>
      <c r="K55" s="76"/>
      <c r="L55" s="85"/>
      <c r="M55" s="85"/>
    </row>
    <row r="56" spans="2:14" ht="15.75" customHeight="1">
      <c r="B56" s="10" t="b">
        <v>0</v>
      </c>
      <c r="C56" s="99" t="s">
        <v>103</v>
      </c>
      <c r="D56" s="99">
        <v>24</v>
      </c>
      <c r="E56" s="100">
        <v>-500</v>
      </c>
      <c r="F56" s="25">
        <f t="shared" ca="1" si="0"/>
        <v>500</v>
      </c>
      <c r="G56" s="11">
        <f t="shared" si="1"/>
        <v>45985</v>
      </c>
      <c r="H56" s="66">
        <f t="shared" ca="1" si="2"/>
        <v>652.81000000000085</v>
      </c>
      <c r="K56" s="76"/>
      <c r="L56" s="85"/>
      <c r="M56" s="85"/>
    </row>
    <row r="57" spans="2:14" ht="15.75" customHeight="1">
      <c r="B57" s="10" t="b">
        <v>0</v>
      </c>
      <c r="C57" s="10" t="s">
        <v>33</v>
      </c>
      <c r="D57" s="10">
        <v>24</v>
      </c>
      <c r="E57" s="25">
        <v>80</v>
      </c>
      <c r="F57" s="25">
        <f t="shared" ca="1" si="0"/>
        <v>-80</v>
      </c>
      <c r="G57" s="11">
        <f t="shared" si="1"/>
        <v>45985</v>
      </c>
      <c r="H57" s="66">
        <f t="shared" ca="1" si="2"/>
        <v>572.81000000000085</v>
      </c>
      <c r="K57" s="76"/>
      <c r="L57" s="85"/>
      <c r="M57" s="85"/>
    </row>
    <row r="58" spans="2:14" ht="15.75" customHeight="1">
      <c r="B58" s="10" t="b">
        <v>0</v>
      </c>
      <c r="C58" s="20" t="s">
        <v>49</v>
      </c>
      <c r="D58" s="20">
        <v>24</v>
      </c>
      <c r="E58" s="66">
        <v>22.23</v>
      </c>
      <c r="F58" s="25">
        <f t="shared" ca="1" si="0"/>
        <v>-22.23</v>
      </c>
      <c r="G58" s="11">
        <f t="shared" si="1"/>
        <v>45985</v>
      </c>
      <c r="H58" s="66">
        <f t="shared" ca="1" si="2"/>
        <v>550.58000000000084</v>
      </c>
      <c r="K58" s="76"/>
      <c r="L58" s="85"/>
      <c r="M58" s="85"/>
    </row>
    <row r="59" spans="2:14" ht="15.75" customHeight="1">
      <c r="B59" s="10" t="b">
        <v>0</v>
      </c>
      <c r="C59" s="10" t="s">
        <v>45</v>
      </c>
      <c r="D59" s="24">
        <v>28</v>
      </c>
      <c r="E59" s="25">
        <v>250</v>
      </c>
      <c r="F59" s="25">
        <f t="shared" ca="1" si="0"/>
        <v>-250</v>
      </c>
      <c r="G59" s="11">
        <f t="shared" si="1"/>
        <v>45989</v>
      </c>
      <c r="H59" s="66">
        <f t="shared" ca="1" si="2"/>
        <v>300.58000000000084</v>
      </c>
      <c r="K59" s="76"/>
      <c r="L59" s="85"/>
      <c r="M59" s="85"/>
    </row>
    <row r="60" spans="2:14" ht="15.75" customHeight="1">
      <c r="B60" s="10" t="b">
        <v>0</v>
      </c>
      <c r="C60" s="10" t="s">
        <v>51</v>
      </c>
      <c r="D60" s="24">
        <v>28</v>
      </c>
      <c r="E60" s="25">
        <v>105.29</v>
      </c>
      <c r="F60" s="25">
        <f t="shared" ca="1" si="0"/>
        <v>-105.29</v>
      </c>
      <c r="G60" s="11">
        <f t="shared" si="1"/>
        <v>45989</v>
      </c>
      <c r="H60" s="66">
        <f t="shared" ca="1" si="2"/>
        <v>195.29000000000082</v>
      </c>
      <c r="J60" s="25"/>
      <c r="K60" s="85"/>
      <c r="L60" s="36"/>
      <c r="M60" s="36"/>
    </row>
    <row r="61" spans="2:14" ht="15.75" customHeight="1">
      <c r="B61" s="10" t="b">
        <v>0</v>
      </c>
      <c r="C61" s="99" t="s">
        <v>9</v>
      </c>
      <c r="D61" s="99">
        <v>31</v>
      </c>
      <c r="E61" s="100">
        <v>-3205.07</v>
      </c>
      <c r="F61" s="25">
        <f t="shared" ca="1" si="0"/>
        <v>3205.07</v>
      </c>
      <c r="G61" s="11">
        <f t="shared" si="1"/>
        <v>45992</v>
      </c>
      <c r="H61" s="66">
        <f t="shared" ca="1" si="2"/>
        <v>3400.360000000001</v>
      </c>
      <c r="J61" s="25"/>
      <c r="K61" s="85"/>
      <c r="L61" s="36"/>
      <c r="M61" s="36"/>
    </row>
    <row r="62" spans="2:14" ht="15.75" customHeight="1">
      <c r="B62" s="10" t="b">
        <v>0</v>
      </c>
      <c r="C62" s="10" t="s">
        <v>23</v>
      </c>
      <c r="D62" s="24">
        <v>31</v>
      </c>
      <c r="E62" s="65">
        <v>1000</v>
      </c>
      <c r="F62" s="25">
        <f t="shared" ca="1" si="0"/>
        <v>-1000</v>
      </c>
      <c r="G62" s="11">
        <f t="shared" si="1"/>
        <v>45992</v>
      </c>
      <c r="H62" s="66">
        <f t="shared" ca="1" si="2"/>
        <v>2400.360000000001</v>
      </c>
      <c r="J62" s="25"/>
      <c r="K62" s="85"/>
      <c r="L62" s="36"/>
      <c r="M62" s="36"/>
    </row>
    <row r="63" spans="2:14" ht="15.75" customHeight="1">
      <c r="C63" s="20"/>
      <c r="D63" s="20"/>
      <c r="E63" s="20"/>
      <c r="F63" s="25"/>
      <c r="G63" s="11"/>
      <c r="H63" s="89"/>
      <c r="J63" s="25"/>
      <c r="K63" s="85"/>
      <c r="L63" s="36"/>
      <c r="M63" s="36"/>
    </row>
    <row r="64" spans="2:14" ht="15.75" customHeight="1">
      <c r="D64" s="24"/>
      <c r="E64" s="84"/>
      <c r="F64" s="25"/>
      <c r="G64" s="11"/>
      <c r="H64" s="89"/>
      <c r="K64" s="36"/>
      <c r="L64" s="36"/>
      <c r="M64" s="36"/>
    </row>
    <row r="65" spans="5:13" ht="15.75" customHeight="1">
      <c r="E65" s="24"/>
      <c r="F65" s="25"/>
      <c r="G65" s="11"/>
      <c r="H65" s="89"/>
      <c r="K65" s="36"/>
      <c r="L65" s="36"/>
      <c r="M65" s="36"/>
    </row>
    <row r="66" spans="5:13" ht="15.75" customHeight="1">
      <c r="F66" s="25"/>
      <c r="G66" s="11"/>
      <c r="H66" s="89"/>
      <c r="K66" s="36"/>
      <c r="L66" s="36"/>
      <c r="M66" s="36"/>
    </row>
    <row r="67" spans="5:13" ht="15.75" customHeight="1">
      <c r="F67" s="25"/>
      <c r="G67" s="11"/>
      <c r="H67" s="89"/>
      <c r="K67" s="36"/>
      <c r="L67" s="36"/>
      <c r="M67" s="36"/>
    </row>
    <row r="68" spans="5:13" ht="15.75" customHeight="1">
      <c r="G68" s="11"/>
      <c r="K68" s="36"/>
      <c r="L68" s="36"/>
      <c r="M68" s="36"/>
    </row>
    <row r="69" spans="5:13" ht="15.75" customHeight="1">
      <c r="G69" s="11"/>
      <c r="K69" s="36"/>
      <c r="L69" s="36"/>
      <c r="M69" s="36"/>
    </row>
    <row r="70" spans="5:13" ht="15.75" customHeight="1">
      <c r="G70" s="11"/>
      <c r="K70" s="36"/>
      <c r="L70" s="36"/>
      <c r="M70" s="36"/>
    </row>
    <row r="71" spans="5:13" ht="15.75" customHeight="1">
      <c r="G71" s="11"/>
      <c r="K71" s="36"/>
      <c r="L71" s="36"/>
      <c r="M71" s="36"/>
    </row>
    <row r="72" spans="5:13" ht="15.75" customHeight="1">
      <c r="G72" s="11"/>
      <c r="K72" s="36"/>
      <c r="L72" s="36"/>
      <c r="M72" s="36"/>
    </row>
    <row r="73" spans="5:13" ht="15.75" customHeight="1">
      <c r="G73" s="11"/>
      <c r="K73" s="36"/>
      <c r="L73" s="36"/>
      <c r="M73" s="36"/>
    </row>
    <row r="74" spans="5:13" ht="15.75" customHeight="1">
      <c r="G74" s="11"/>
      <c r="K74" s="36"/>
      <c r="L74" s="36"/>
      <c r="M74" s="36"/>
    </row>
    <row r="75" spans="5:13" ht="15.75" customHeight="1">
      <c r="G75" s="11"/>
      <c r="K75" s="36"/>
      <c r="L75" s="36"/>
      <c r="M75" s="36"/>
    </row>
    <row r="76" spans="5:13" ht="15.75" customHeight="1">
      <c r="G76" s="11"/>
      <c r="K76" s="36"/>
      <c r="L76" s="36"/>
      <c r="M76" s="36"/>
    </row>
    <row r="77" spans="5:13" ht="15.75" customHeight="1">
      <c r="G77" s="11"/>
      <c r="K77" s="36"/>
      <c r="L77" s="36"/>
      <c r="M77" s="36"/>
    </row>
    <row r="78" spans="5:13" ht="15.75" customHeight="1">
      <c r="G78" s="11"/>
      <c r="K78" s="36"/>
      <c r="L78" s="36"/>
      <c r="M78" s="36"/>
    </row>
    <row r="79" spans="5:13" ht="15.75" customHeight="1">
      <c r="G79" s="11"/>
      <c r="K79" s="36"/>
      <c r="L79" s="36"/>
      <c r="M79" s="36"/>
    </row>
    <row r="80" spans="5:13" ht="15.75" customHeight="1">
      <c r="G80" s="11"/>
      <c r="K80" s="36"/>
      <c r="L80" s="36"/>
      <c r="M80" s="36"/>
    </row>
    <row r="81" spans="7:13" ht="15.75" customHeight="1">
      <c r="G81" s="11"/>
      <c r="K81" s="36"/>
      <c r="L81" s="36"/>
      <c r="M81" s="36"/>
    </row>
    <row r="82" spans="7:13" ht="15.75" customHeight="1">
      <c r="G82" s="11"/>
      <c r="K82" s="36"/>
      <c r="L82" s="36"/>
      <c r="M82" s="36"/>
    </row>
    <row r="83" spans="7:13" ht="15.75" customHeight="1">
      <c r="G83" s="11"/>
      <c r="K83" s="36"/>
      <c r="L83" s="36"/>
      <c r="M83" s="36"/>
    </row>
    <row r="84" spans="7:13" ht="15.75" customHeight="1">
      <c r="G84" s="11"/>
      <c r="K84" s="36"/>
      <c r="L84" s="36"/>
      <c r="M84" s="36"/>
    </row>
    <row r="85" spans="7:13" ht="15.75" customHeight="1">
      <c r="G85" s="11"/>
      <c r="K85" s="36"/>
      <c r="L85" s="36"/>
      <c r="M85" s="36"/>
    </row>
    <row r="86" spans="7:13" ht="15.75" customHeight="1">
      <c r="G86" s="11"/>
      <c r="K86" s="36"/>
      <c r="L86" s="36"/>
      <c r="M86" s="36"/>
    </row>
    <row r="87" spans="7:13" ht="15.75" customHeight="1">
      <c r="G87" s="11"/>
      <c r="K87" s="36"/>
      <c r="L87" s="36"/>
      <c r="M87" s="36"/>
    </row>
    <row r="88" spans="7:13" ht="15.75" customHeight="1">
      <c r="G88" s="11"/>
      <c r="K88" s="36"/>
      <c r="L88" s="36"/>
      <c r="M88" s="36"/>
    </row>
    <row r="89" spans="7:13" ht="15.75" customHeight="1">
      <c r="G89" s="11"/>
      <c r="K89" s="36"/>
      <c r="L89" s="36"/>
      <c r="M89" s="36"/>
    </row>
    <row r="90" spans="7:13" ht="15.75" customHeight="1">
      <c r="G90" s="11"/>
      <c r="K90" s="36"/>
      <c r="L90" s="36"/>
      <c r="M90" s="36"/>
    </row>
    <row r="91" spans="7:13" ht="15.75" customHeight="1">
      <c r="G91" s="11"/>
      <c r="K91" s="36"/>
      <c r="L91" s="36"/>
      <c r="M91" s="36"/>
    </row>
    <row r="92" spans="7:13" ht="15.75" customHeight="1">
      <c r="G92" s="11"/>
      <c r="K92" s="36"/>
      <c r="L92" s="36"/>
      <c r="M92" s="36"/>
    </row>
    <row r="93" spans="7:13" ht="15.75" customHeight="1">
      <c r="G93" s="11"/>
      <c r="K93" s="36"/>
      <c r="L93" s="36"/>
      <c r="M93" s="36"/>
    </row>
    <row r="94" spans="7:13" ht="15.75" customHeight="1">
      <c r="G94" s="11"/>
      <c r="K94" s="36"/>
      <c r="L94" s="36"/>
      <c r="M94" s="36"/>
    </row>
    <row r="95" spans="7:13" ht="15.75" customHeight="1">
      <c r="G95" s="11"/>
      <c r="K95" s="36"/>
      <c r="L95" s="36"/>
      <c r="M95" s="36"/>
    </row>
    <row r="96" spans="7:13" ht="15.75" customHeight="1">
      <c r="G96" s="11"/>
      <c r="K96" s="36"/>
      <c r="L96" s="36"/>
      <c r="M96" s="36"/>
    </row>
    <row r="97" spans="7:13" ht="15.75" customHeight="1">
      <c r="G97" s="11"/>
      <c r="K97" s="36"/>
      <c r="L97" s="36"/>
      <c r="M97" s="36"/>
    </row>
    <row r="98" spans="7:13" ht="15.75" customHeight="1">
      <c r="G98" s="11"/>
      <c r="K98" s="36"/>
      <c r="L98" s="36"/>
      <c r="M98" s="36"/>
    </row>
    <row r="99" spans="7:13" ht="15.75" customHeight="1">
      <c r="G99" s="11"/>
      <c r="K99" s="36"/>
      <c r="L99" s="36"/>
      <c r="M99" s="36"/>
    </row>
    <row r="100" spans="7:13" ht="15.75" customHeight="1">
      <c r="G100" s="11"/>
      <c r="K100" s="36"/>
      <c r="L100" s="36"/>
      <c r="M100" s="36"/>
    </row>
    <row r="101" spans="7:13" ht="15.75" customHeight="1">
      <c r="G101" s="11"/>
      <c r="K101" s="36"/>
      <c r="L101" s="36"/>
      <c r="M101" s="36"/>
    </row>
    <row r="102" spans="7:13" ht="15.75" customHeight="1">
      <c r="G102" s="11"/>
      <c r="K102" s="36"/>
      <c r="L102" s="36"/>
      <c r="M102" s="36"/>
    </row>
    <row r="103" spans="7:13" ht="15.75" customHeight="1">
      <c r="G103" s="11"/>
      <c r="K103" s="36"/>
      <c r="L103" s="36"/>
      <c r="M103" s="36"/>
    </row>
    <row r="104" spans="7:13" ht="15.75" customHeight="1">
      <c r="G104" s="11"/>
      <c r="K104" s="36"/>
      <c r="L104" s="36"/>
      <c r="M104" s="36"/>
    </row>
    <row r="105" spans="7:13" ht="15.75" customHeight="1">
      <c r="G105" s="11"/>
      <c r="K105" s="36"/>
      <c r="L105" s="36"/>
      <c r="M105" s="36"/>
    </row>
    <row r="106" spans="7:13" ht="15.75" customHeight="1">
      <c r="G106" s="11"/>
      <c r="K106" s="36"/>
      <c r="L106" s="36"/>
      <c r="M106" s="36"/>
    </row>
    <row r="107" spans="7:13" ht="15.75" customHeight="1">
      <c r="G107" s="11"/>
      <c r="K107" s="36"/>
      <c r="L107" s="36"/>
      <c r="M107" s="36"/>
    </row>
    <row r="108" spans="7:13" ht="15.75" customHeight="1">
      <c r="G108" s="11"/>
      <c r="K108" s="36"/>
      <c r="L108" s="36"/>
      <c r="M108" s="36"/>
    </row>
    <row r="109" spans="7:13" ht="15.75" customHeight="1">
      <c r="G109" s="11"/>
      <c r="K109" s="36"/>
      <c r="L109" s="36"/>
      <c r="M109" s="36"/>
    </row>
    <row r="110" spans="7:13" ht="15.75" customHeight="1">
      <c r="G110" s="11"/>
      <c r="K110" s="36"/>
      <c r="L110" s="36"/>
      <c r="M110" s="36"/>
    </row>
    <row r="111" spans="7:13" ht="15.75" customHeight="1">
      <c r="G111" s="11"/>
      <c r="K111" s="36"/>
      <c r="L111" s="36"/>
      <c r="M111" s="36"/>
    </row>
    <row r="112" spans="7:13" ht="15.75" customHeight="1">
      <c r="G112" s="11"/>
      <c r="K112" s="36"/>
      <c r="L112" s="36"/>
      <c r="M112" s="36"/>
    </row>
    <row r="113" spans="7:13" ht="15.75" customHeight="1">
      <c r="G113" s="11"/>
      <c r="K113" s="36"/>
      <c r="L113" s="36"/>
      <c r="M113" s="36"/>
    </row>
    <row r="114" spans="7:13" ht="15.75" customHeight="1">
      <c r="G114" s="11"/>
      <c r="K114" s="36"/>
      <c r="L114" s="36"/>
      <c r="M114" s="36"/>
    </row>
    <row r="115" spans="7:13" ht="15.75" customHeight="1">
      <c r="G115" s="11"/>
      <c r="K115" s="36"/>
      <c r="L115" s="36"/>
      <c r="M115" s="36"/>
    </row>
    <row r="116" spans="7:13" ht="15.75" customHeight="1">
      <c r="G116" s="11"/>
      <c r="K116" s="36"/>
      <c r="L116" s="36"/>
      <c r="M116" s="36"/>
    </row>
    <row r="117" spans="7:13" ht="15.75" customHeight="1">
      <c r="G117" s="11"/>
      <c r="K117" s="36"/>
      <c r="L117" s="36"/>
      <c r="M117" s="36"/>
    </row>
    <row r="118" spans="7:13" ht="15.75" customHeight="1">
      <c r="G118" s="11"/>
      <c r="K118" s="36"/>
      <c r="L118" s="36"/>
      <c r="M118" s="36"/>
    </row>
    <row r="119" spans="7:13" ht="15.75" customHeight="1">
      <c r="G119" s="11"/>
      <c r="K119" s="36"/>
      <c r="L119" s="36"/>
      <c r="M119" s="36"/>
    </row>
    <row r="120" spans="7:13" ht="15.75" customHeight="1">
      <c r="G120" s="11"/>
      <c r="K120" s="36"/>
      <c r="L120" s="36"/>
      <c r="M120" s="36"/>
    </row>
    <row r="121" spans="7:13" ht="15.75" customHeight="1">
      <c r="G121" s="11"/>
      <c r="K121" s="36"/>
      <c r="L121" s="36"/>
      <c r="M121" s="36"/>
    </row>
    <row r="122" spans="7:13" ht="15.75" customHeight="1">
      <c r="G122" s="11"/>
      <c r="K122" s="36"/>
      <c r="L122" s="36"/>
      <c r="M122" s="36"/>
    </row>
    <row r="123" spans="7:13" ht="15.75" customHeight="1">
      <c r="G123" s="11"/>
      <c r="K123" s="36"/>
      <c r="L123" s="36"/>
      <c r="M123" s="36"/>
    </row>
    <row r="124" spans="7:13" ht="15.75" customHeight="1">
      <c r="G124" s="11"/>
      <c r="K124" s="36"/>
      <c r="L124" s="36"/>
      <c r="M124" s="36"/>
    </row>
    <row r="125" spans="7:13" ht="15.75" customHeight="1">
      <c r="G125" s="11"/>
      <c r="K125" s="36"/>
      <c r="L125" s="36"/>
      <c r="M125" s="36"/>
    </row>
    <row r="126" spans="7:13" ht="15.75" customHeight="1">
      <c r="G126" s="11"/>
      <c r="K126" s="36"/>
      <c r="L126" s="36"/>
      <c r="M126" s="36"/>
    </row>
    <row r="127" spans="7:13" ht="15.75" customHeight="1">
      <c r="G127" s="11"/>
      <c r="K127" s="36"/>
      <c r="L127" s="36"/>
      <c r="M127" s="36"/>
    </row>
    <row r="128" spans="7:13" ht="15.75" customHeight="1">
      <c r="G128" s="11"/>
      <c r="K128" s="36"/>
      <c r="L128" s="36"/>
      <c r="M128" s="36"/>
    </row>
    <row r="129" spans="7:13" ht="15.75" customHeight="1">
      <c r="G129" s="11"/>
      <c r="K129" s="36"/>
      <c r="L129" s="36"/>
      <c r="M129" s="36"/>
    </row>
    <row r="130" spans="7:13" ht="15.75" customHeight="1">
      <c r="G130" s="11"/>
      <c r="K130" s="36"/>
      <c r="L130" s="36"/>
      <c r="M130" s="36"/>
    </row>
    <row r="131" spans="7:13" ht="15.75" customHeight="1">
      <c r="G131" s="11"/>
      <c r="K131" s="36"/>
      <c r="L131" s="36"/>
      <c r="M131" s="36"/>
    </row>
    <row r="132" spans="7:13" ht="15.75" customHeight="1">
      <c r="G132" s="11"/>
      <c r="K132" s="36"/>
      <c r="L132" s="36"/>
      <c r="M132" s="36"/>
    </row>
    <row r="133" spans="7:13" ht="15.75" customHeight="1">
      <c r="G133" s="11"/>
      <c r="K133" s="36"/>
      <c r="L133" s="36"/>
      <c r="M133" s="36"/>
    </row>
    <row r="134" spans="7:13" ht="15.75" customHeight="1">
      <c r="G134" s="11"/>
      <c r="K134" s="36"/>
      <c r="L134" s="36"/>
      <c r="M134" s="36"/>
    </row>
    <row r="135" spans="7:13" ht="15.75" customHeight="1">
      <c r="G135" s="11"/>
      <c r="K135" s="36"/>
      <c r="L135" s="36"/>
      <c r="M135" s="36"/>
    </row>
    <row r="136" spans="7:13" ht="15.75" customHeight="1">
      <c r="G136" s="11"/>
      <c r="K136" s="36"/>
      <c r="L136" s="36"/>
      <c r="M136" s="36"/>
    </row>
    <row r="137" spans="7:13" ht="15.75" customHeight="1">
      <c r="G137" s="11"/>
      <c r="K137" s="36"/>
      <c r="L137" s="36"/>
      <c r="M137" s="36"/>
    </row>
    <row r="138" spans="7:13" ht="15.75" customHeight="1">
      <c r="G138" s="11"/>
      <c r="K138" s="36"/>
      <c r="L138" s="36"/>
      <c r="M138" s="36"/>
    </row>
    <row r="139" spans="7:13" ht="15.75" customHeight="1">
      <c r="G139" s="11"/>
      <c r="K139" s="36"/>
      <c r="L139" s="36"/>
      <c r="M139" s="36"/>
    </row>
    <row r="140" spans="7:13" ht="15.75" customHeight="1">
      <c r="G140" s="11"/>
      <c r="K140" s="36"/>
      <c r="L140" s="36"/>
      <c r="M140" s="36"/>
    </row>
    <row r="141" spans="7:13" ht="15.75" customHeight="1">
      <c r="G141" s="11"/>
      <c r="K141" s="36"/>
      <c r="L141" s="36"/>
      <c r="M141" s="36"/>
    </row>
    <row r="142" spans="7:13" ht="15.75" customHeight="1">
      <c r="G142" s="11"/>
      <c r="K142" s="36"/>
      <c r="L142" s="36"/>
      <c r="M142" s="36"/>
    </row>
    <row r="143" spans="7:13" ht="15.75" customHeight="1">
      <c r="G143" s="11"/>
      <c r="K143" s="36"/>
      <c r="L143" s="36"/>
      <c r="M143" s="36"/>
    </row>
    <row r="144" spans="7:13" ht="15.75" customHeight="1">
      <c r="G144" s="11"/>
      <c r="K144" s="36"/>
      <c r="L144" s="36"/>
      <c r="M144" s="36"/>
    </row>
    <row r="145" spans="7:13" ht="15.75" customHeight="1">
      <c r="G145" s="11"/>
      <c r="K145" s="36"/>
      <c r="L145" s="36"/>
      <c r="M145" s="36"/>
    </row>
    <row r="146" spans="7:13" ht="15.75" customHeight="1">
      <c r="G146" s="11"/>
      <c r="K146" s="36"/>
      <c r="L146" s="36"/>
      <c r="M146" s="36"/>
    </row>
    <row r="147" spans="7:13" ht="15.75" customHeight="1">
      <c r="G147" s="11"/>
      <c r="K147" s="36"/>
      <c r="L147" s="36"/>
      <c r="M147" s="36"/>
    </row>
    <row r="148" spans="7:13" ht="15.75" customHeight="1">
      <c r="G148" s="11"/>
      <c r="K148" s="36"/>
      <c r="L148" s="36"/>
      <c r="M148" s="36"/>
    </row>
    <row r="149" spans="7:13" ht="15.75" customHeight="1">
      <c r="G149" s="11"/>
      <c r="K149" s="36"/>
      <c r="L149" s="36"/>
      <c r="M149" s="36"/>
    </row>
    <row r="150" spans="7:13" ht="15.75" customHeight="1">
      <c r="G150" s="11"/>
      <c r="K150" s="36"/>
      <c r="L150" s="36"/>
      <c r="M150" s="36"/>
    </row>
    <row r="151" spans="7:13" ht="15.75" customHeight="1">
      <c r="G151" s="11"/>
      <c r="K151" s="36"/>
      <c r="L151" s="36"/>
      <c r="M151" s="36"/>
    </row>
    <row r="152" spans="7:13" ht="15.75" customHeight="1">
      <c r="G152" s="11"/>
      <c r="K152" s="36"/>
      <c r="L152" s="36"/>
      <c r="M152" s="36"/>
    </row>
    <row r="153" spans="7:13" ht="15.75" customHeight="1">
      <c r="G153" s="11"/>
      <c r="K153" s="36"/>
      <c r="L153" s="36"/>
      <c r="M153" s="36"/>
    </row>
    <row r="154" spans="7:13" ht="15.75" customHeight="1">
      <c r="G154" s="11"/>
      <c r="K154" s="36"/>
      <c r="L154" s="36"/>
      <c r="M154" s="36"/>
    </row>
    <row r="155" spans="7:13" ht="15.75" customHeight="1">
      <c r="G155" s="11"/>
      <c r="K155" s="36"/>
      <c r="L155" s="36"/>
      <c r="M155" s="36"/>
    </row>
    <row r="156" spans="7:13" ht="15.75" customHeight="1">
      <c r="G156" s="11"/>
      <c r="K156" s="36"/>
      <c r="L156" s="36"/>
      <c r="M156" s="36"/>
    </row>
    <row r="157" spans="7:13" ht="15.75" customHeight="1">
      <c r="G157" s="11"/>
      <c r="K157" s="36"/>
      <c r="L157" s="36"/>
      <c r="M157" s="36"/>
    </row>
    <row r="158" spans="7:13" ht="15.75" customHeight="1">
      <c r="G158" s="11"/>
      <c r="K158" s="36"/>
      <c r="L158" s="36"/>
      <c r="M158" s="36"/>
    </row>
    <row r="159" spans="7:13" ht="15.75" customHeight="1">
      <c r="G159" s="11"/>
      <c r="K159" s="36"/>
      <c r="L159" s="36"/>
      <c r="M159" s="36"/>
    </row>
    <row r="160" spans="7:13" ht="15.75" customHeight="1">
      <c r="G160" s="11"/>
      <c r="K160" s="36"/>
      <c r="L160" s="36"/>
      <c r="M160" s="36"/>
    </row>
    <row r="161" spans="7:13" ht="15.75" customHeight="1">
      <c r="G161" s="11"/>
      <c r="K161" s="36"/>
      <c r="L161" s="36"/>
      <c r="M161" s="36"/>
    </row>
    <row r="162" spans="7:13" ht="15.75" customHeight="1">
      <c r="G162" s="11"/>
      <c r="K162" s="36"/>
      <c r="L162" s="36"/>
      <c r="M162" s="36"/>
    </row>
    <row r="163" spans="7:13" ht="15.75" customHeight="1">
      <c r="G163" s="11"/>
      <c r="K163" s="36"/>
      <c r="L163" s="36"/>
      <c r="M163" s="36"/>
    </row>
    <row r="164" spans="7:13" ht="15.75" customHeight="1">
      <c r="G164" s="11"/>
      <c r="K164" s="36"/>
      <c r="L164" s="36"/>
      <c r="M164" s="36"/>
    </row>
    <row r="165" spans="7:13" ht="15.75" customHeight="1">
      <c r="G165" s="11"/>
      <c r="K165" s="36"/>
      <c r="L165" s="36"/>
      <c r="M165" s="36"/>
    </row>
    <row r="166" spans="7:13" ht="15.75" customHeight="1">
      <c r="G166" s="11"/>
      <c r="K166" s="36"/>
      <c r="L166" s="36"/>
      <c r="M166" s="36"/>
    </row>
    <row r="167" spans="7:13" ht="15.75" customHeight="1">
      <c r="G167" s="11"/>
      <c r="K167" s="36"/>
      <c r="L167" s="36"/>
      <c r="M167" s="36"/>
    </row>
    <row r="168" spans="7:13" ht="15.75" customHeight="1">
      <c r="G168" s="11"/>
      <c r="K168" s="36"/>
      <c r="L168" s="36"/>
      <c r="M168" s="36"/>
    </row>
    <row r="169" spans="7:13" ht="15.75" customHeight="1">
      <c r="G169" s="11"/>
      <c r="K169" s="36"/>
      <c r="L169" s="36"/>
      <c r="M169" s="36"/>
    </row>
    <row r="170" spans="7:13" ht="15.75" customHeight="1">
      <c r="G170" s="11"/>
      <c r="K170" s="36"/>
      <c r="L170" s="36"/>
      <c r="M170" s="36"/>
    </row>
    <row r="171" spans="7:13" ht="15.75" customHeight="1">
      <c r="G171" s="11"/>
      <c r="K171" s="36"/>
      <c r="L171" s="36"/>
      <c r="M171" s="36"/>
    </row>
    <row r="172" spans="7:13" ht="15.75" customHeight="1">
      <c r="G172" s="11"/>
      <c r="K172" s="36"/>
      <c r="L172" s="36"/>
      <c r="M172" s="36"/>
    </row>
    <row r="173" spans="7:13" ht="15.75" customHeight="1">
      <c r="G173" s="11"/>
      <c r="K173" s="36"/>
      <c r="L173" s="36"/>
      <c r="M173" s="36"/>
    </row>
    <row r="174" spans="7:13" ht="15.75" customHeight="1">
      <c r="G174" s="11"/>
      <c r="K174" s="36"/>
      <c r="L174" s="36"/>
      <c r="M174" s="36"/>
    </row>
    <row r="175" spans="7:13" ht="15.75" customHeight="1">
      <c r="G175" s="11"/>
      <c r="K175" s="36"/>
      <c r="L175" s="36"/>
      <c r="M175" s="36"/>
    </row>
    <row r="176" spans="7:13" ht="15.75" customHeight="1">
      <c r="G176" s="11"/>
      <c r="K176" s="36"/>
      <c r="L176" s="36"/>
      <c r="M176" s="36"/>
    </row>
    <row r="177" spans="7:13" ht="15.75" customHeight="1">
      <c r="G177" s="11"/>
      <c r="K177" s="36"/>
      <c r="L177" s="36"/>
      <c r="M177" s="36"/>
    </row>
    <row r="178" spans="7:13" ht="15.75" customHeight="1">
      <c r="G178" s="11"/>
      <c r="K178" s="36"/>
      <c r="L178" s="36"/>
      <c r="M178" s="36"/>
    </row>
    <row r="179" spans="7:13" ht="15.75" customHeight="1">
      <c r="G179" s="11"/>
      <c r="K179" s="36"/>
      <c r="L179" s="36"/>
      <c r="M179" s="36"/>
    </row>
    <row r="180" spans="7:13" ht="15.75" customHeight="1">
      <c r="G180" s="11"/>
      <c r="K180" s="36"/>
      <c r="L180" s="36"/>
      <c r="M180" s="36"/>
    </row>
    <row r="181" spans="7:13" ht="15.75" customHeight="1">
      <c r="G181" s="11"/>
      <c r="K181" s="36"/>
      <c r="L181" s="36"/>
      <c r="M181" s="36"/>
    </row>
    <row r="182" spans="7:13" ht="15.75" customHeight="1">
      <c r="G182" s="11"/>
      <c r="K182" s="36"/>
      <c r="L182" s="36"/>
      <c r="M182" s="36"/>
    </row>
    <row r="183" spans="7:13" ht="15.75" customHeight="1">
      <c r="G183" s="11"/>
      <c r="K183" s="36"/>
      <c r="L183" s="36"/>
      <c r="M183" s="36"/>
    </row>
    <row r="184" spans="7:13" ht="15.75" customHeight="1">
      <c r="G184" s="11"/>
      <c r="K184" s="36"/>
      <c r="L184" s="36"/>
      <c r="M184" s="36"/>
    </row>
    <row r="185" spans="7:13" ht="15.75" customHeight="1">
      <c r="G185" s="11"/>
      <c r="K185" s="36"/>
      <c r="L185" s="36"/>
      <c r="M185" s="36"/>
    </row>
    <row r="186" spans="7:13" ht="15.75" customHeight="1">
      <c r="G186" s="11"/>
      <c r="K186" s="36"/>
      <c r="L186" s="36"/>
      <c r="M186" s="36"/>
    </row>
    <row r="187" spans="7:13" ht="15.75" customHeight="1">
      <c r="G187" s="11"/>
      <c r="K187" s="36"/>
      <c r="L187" s="36"/>
      <c r="M187" s="36"/>
    </row>
    <row r="188" spans="7:13" ht="15.75" customHeight="1">
      <c r="G188" s="11"/>
      <c r="K188" s="36"/>
      <c r="L188" s="36"/>
      <c r="M188" s="36"/>
    </row>
    <row r="189" spans="7:13" ht="15.75" customHeight="1">
      <c r="G189" s="11"/>
      <c r="K189" s="36"/>
      <c r="L189" s="36"/>
      <c r="M189" s="36"/>
    </row>
    <row r="190" spans="7:13" ht="15.75" customHeight="1">
      <c r="G190" s="11"/>
      <c r="K190" s="36"/>
      <c r="L190" s="36"/>
      <c r="M190" s="36"/>
    </row>
    <row r="191" spans="7:13" ht="15.75" customHeight="1">
      <c r="G191" s="11"/>
      <c r="K191" s="36"/>
      <c r="L191" s="36"/>
      <c r="M191" s="36"/>
    </row>
    <row r="192" spans="7:13" ht="15.75" customHeight="1">
      <c r="G192" s="11"/>
      <c r="K192" s="36"/>
      <c r="L192" s="36"/>
      <c r="M192" s="36"/>
    </row>
    <row r="193" spans="7:13" ht="15.75" customHeight="1">
      <c r="G193" s="11"/>
      <c r="K193" s="36"/>
      <c r="L193" s="36"/>
      <c r="M193" s="36"/>
    </row>
    <row r="194" spans="7:13" ht="15.75" customHeight="1">
      <c r="G194" s="11"/>
      <c r="K194" s="36"/>
      <c r="L194" s="36"/>
      <c r="M194" s="36"/>
    </row>
    <row r="195" spans="7:13" ht="15.75" customHeight="1">
      <c r="G195" s="11"/>
      <c r="K195" s="36"/>
      <c r="L195" s="36"/>
      <c r="M195" s="36"/>
    </row>
    <row r="196" spans="7:13" ht="15.75" customHeight="1">
      <c r="G196" s="11"/>
      <c r="K196" s="36"/>
      <c r="L196" s="36"/>
      <c r="M196" s="36"/>
    </row>
    <row r="197" spans="7:13" ht="15.75" customHeight="1">
      <c r="G197" s="11"/>
      <c r="K197" s="36"/>
      <c r="L197" s="36"/>
      <c r="M197" s="36"/>
    </row>
    <row r="198" spans="7:13" ht="15.75" customHeight="1">
      <c r="G198" s="11"/>
      <c r="K198" s="36"/>
      <c r="L198" s="36"/>
      <c r="M198" s="36"/>
    </row>
    <row r="199" spans="7:13" ht="15.75" customHeight="1">
      <c r="G199" s="11"/>
      <c r="K199" s="36"/>
      <c r="L199" s="36"/>
      <c r="M199" s="36"/>
    </row>
    <row r="200" spans="7:13" ht="15.75" customHeight="1">
      <c r="G200" s="11"/>
      <c r="K200" s="36"/>
      <c r="L200" s="36"/>
      <c r="M200" s="36"/>
    </row>
    <row r="201" spans="7:13" ht="15.75" customHeight="1">
      <c r="G201" s="11"/>
      <c r="K201" s="36"/>
      <c r="L201" s="36"/>
      <c r="M201" s="36"/>
    </row>
    <row r="202" spans="7:13" ht="15.75" customHeight="1">
      <c r="G202" s="11"/>
      <c r="K202" s="36"/>
      <c r="L202" s="36"/>
      <c r="M202" s="36"/>
    </row>
    <row r="203" spans="7:13" ht="15.75" customHeight="1">
      <c r="G203" s="11"/>
      <c r="K203" s="36"/>
      <c r="L203" s="36"/>
      <c r="M203" s="36"/>
    </row>
    <row r="204" spans="7:13" ht="15.75" customHeight="1">
      <c r="G204" s="11"/>
      <c r="K204" s="36"/>
      <c r="L204" s="36"/>
      <c r="M204" s="36"/>
    </row>
    <row r="205" spans="7:13" ht="15.75" customHeight="1">
      <c r="G205" s="11"/>
      <c r="K205" s="36"/>
      <c r="L205" s="36"/>
      <c r="M205" s="36"/>
    </row>
    <row r="206" spans="7:13" ht="15.75" customHeight="1">
      <c r="G206" s="11"/>
      <c r="K206" s="36"/>
      <c r="L206" s="36"/>
      <c r="M206" s="36"/>
    </row>
    <row r="207" spans="7:13" ht="15.75" customHeight="1">
      <c r="G207" s="11"/>
      <c r="K207" s="36"/>
      <c r="L207" s="36"/>
      <c r="M207" s="36"/>
    </row>
    <row r="208" spans="7:13" ht="15.75" customHeight="1">
      <c r="G208" s="11"/>
      <c r="K208" s="36"/>
      <c r="L208" s="36"/>
      <c r="M208" s="36"/>
    </row>
    <row r="209" spans="7:13" ht="15.75" customHeight="1">
      <c r="G209" s="11"/>
      <c r="K209" s="36"/>
      <c r="L209" s="36"/>
      <c r="M209" s="36"/>
    </row>
    <row r="210" spans="7:13" ht="15.75" customHeight="1">
      <c r="G210" s="11"/>
      <c r="K210" s="36"/>
      <c r="L210" s="36"/>
      <c r="M210" s="36"/>
    </row>
    <row r="211" spans="7:13" ht="15.75" customHeight="1">
      <c r="G211" s="11"/>
      <c r="K211" s="36"/>
      <c r="L211" s="36"/>
      <c r="M211" s="36"/>
    </row>
    <row r="212" spans="7:13" ht="15.75" customHeight="1">
      <c r="G212" s="11"/>
      <c r="K212" s="36"/>
      <c r="L212" s="36"/>
      <c r="M212" s="36"/>
    </row>
    <row r="213" spans="7:13" ht="15.75" customHeight="1">
      <c r="G213" s="11"/>
      <c r="K213" s="36"/>
      <c r="L213" s="36"/>
      <c r="M213" s="36"/>
    </row>
    <row r="214" spans="7:13" ht="15.75" customHeight="1">
      <c r="G214" s="11"/>
      <c r="K214" s="36"/>
      <c r="L214" s="36"/>
      <c r="M214" s="36"/>
    </row>
    <row r="215" spans="7:13" ht="15.75" customHeight="1">
      <c r="G215" s="11"/>
      <c r="K215" s="36"/>
      <c r="L215" s="36"/>
      <c r="M215" s="36"/>
    </row>
    <row r="216" spans="7:13" ht="15.75" customHeight="1">
      <c r="G216" s="11"/>
      <c r="K216" s="36"/>
      <c r="L216" s="36"/>
      <c r="M216" s="36"/>
    </row>
    <row r="217" spans="7:13" ht="15.75" customHeight="1">
      <c r="G217" s="11"/>
      <c r="K217" s="36"/>
      <c r="L217" s="36"/>
      <c r="M217" s="36"/>
    </row>
    <row r="218" spans="7:13" ht="15.75" customHeight="1">
      <c r="G218" s="11"/>
      <c r="K218" s="36"/>
      <c r="L218" s="36"/>
      <c r="M218" s="36"/>
    </row>
    <row r="219" spans="7:13" ht="15.75" customHeight="1">
      <c r="G219" s="11"/>
      <c r="K219" s="36"/>
      <c r="L219" s="36"/>
      <c r="M219" s="36"/>
    </row>
    <row r="220" spans="7:13" ht="15.75" customHeight="1">
      <c r="G220" s="11"/>
      <c r="K220" s="36"/>
      <c r="L220" s="36"/>
      <c r="M220" s="36"/>
    </row>
    <row r="221" spans="7:13" ht="15.75" customHeight="1">
      <c r="G221" s="11"/>
      <c r="K221" s="36"/>
      <c r="L221" s="36"/>
      <c r="M221" s="36"/>
    </row>
    <row r="222" spans="7:13" ht="15.75" customHeight="1">
      <c r="G222" s="11"/>
      <c r="K222" s="36"/>
      <c r="L222" s="36"/>
      <c r="M222" s="36"/>
    </row>
    <row r="223" spans="7:13" ht="15.75" customHeight="1">
      <c r="G223" s="11"/>
      <c r="K223" s="36"/>
      <c r="L223" s="36"/>
      <c r="M223" s="36"/>
    </row>
    <row r="224" spans="7:13" ht="15.75" customHeight="1">
      <c r="G224" s="11"/>
      <c r="K224" s="36"/>
      <c r="L224" s="36"/>
      <c r="M224" s="36"/>
    </row>
    <row r="225" spans="7:13" ht="15.75" customHeight="1">
      <c r="G225" s="11"/>
      <c r="K225" s="36"/>
      <c r="L225" s="36"/>
      <c r="M225" s="36"/>
    </row>
    <row r="226" spans="7:13" ht="15.75" customHeight="1">
      <c r="G226" s="11"/>
      <c r="K226" s="36"/>
      <c r="L226" s="36"/>
      <c r="M226" s="36"/>
    </row>
    <row r="227" spans="7:13" ht="15.75" customHeight="1">
      <c r="G227" s="11"/>
      <c r="K227" s="36"/>
      <c r="L227" s="36"/>
      <c r="M227" s="36"/>
    </row>
    <row r="228" spans="7:13" ht="15.75" customHeight="1">
      <c r="G228" s="11"/>
      <c r="K228" s="36"/>
      <c r="L228" s="36"/>
      <c r="M228" s="36"/>
    </row>
    <row r="229" spans="7:13" ht="15.75" customHeight="1">
      <c r="G229" s="11"/>
      <c r="K229" s="36"/>
      <c r="L229" s="36"/>
      <c r="M229" s="36"/>
    </row>
    <row r="230" spans="7:13" ht="15.75" customHeight="1">
      <c r="G230" s="11"/>
      <c r="K230" s="36"/>
      <c r="L230" s="36"/>
      <c r="M230" s="36"/>
    </row>
    <row r="231" spans="7:13" ht="15.75" customHeight="1">
      <c r="G231" s="11"/>
      <c r="K231" s="36"/>
      <c r="L231" s="36"/>
      <c r="M231" s="36"/>
    </row>
    <row r="232" spans="7:13" ht="15.75" customHeight="1">
      <c r="G232" s="11"/>
      <c r="K232" s="36"/>
      <c r="L232" s="36"/>
      <c r="M232" s="36"/>
    </row>
    <row r="233" spans="7:13" ht="15.75" customHeight="1">
      <c r="G233" s="11"/>
      <c r="K233" s="36"/>
      <c r="L233" s="36"/>
      <c r="M233" s="36"/>
    </row>
    <row r="234" spans="7:13" ht="15.75" customHeight="1">
      <c r="G234" s="11"/>
      <c r="K234" s="36"/>
      <c r="L234" s="36"/>
      <c r="M234" s="36"/>
    </row>
    <row r="235" spans="7:13" ht="15.75" customHeight="1">
      <c r="G235" s="11"/>
      <c r="K235" s="36"/>
      <c r="L235" s="36"/>
      <c r="M235" s="36"/>
    </row>
    <row r="236" spans="7:13" ht="15.75" customHeight="1">
      <c r="G236" s="11"/>
      <c r="K236" s="36"/>
      <c r="L236" s="36"/>
      <c r="M236" s="36"/>
    </row>
    <row r="237" spans="7:13" ht="15.75" customHeight="1">
      <c r="G237" s="11"/>
      <c r="K237" s="36"/>
      <c r="L237" s="36"/>
      <c r="M237" s="36"/>
    </row>
    <row r="238" spans="7:13" ht="15.75" customHeight="1">
      <c r="G238" s="11"/>
      <c r="K238" s="36"/>
      <c r="L238" s="36"/>
      <c r="M238" s="36"/>
    </row>
    <row r="239" spans="7:13" ht="15.75" customHeight="1">
      <c r="G239" s="11"/>
      <c r="K239" s="36"/>
      <c r="L239" s="36"/>
      <c r="M239" s="36"/>
    </row>
    <row r="240" spans="7:13" ht="15.75" customHeight="1">
      <c r="G240" s="11"/>
      <c r="K240" s="36"/>
      <c r="L240" s="36"/>
      <c r="M240" s="36"/>
    </row>
    <row r="241" spans="7:13" ht="15.75" customHeight="1">
      <c r="G241" s="11"/>
      <c r="K241" s="36"/>
      <c r="L241" s="36"/>
      <c r="M241" s="36"/>
    </row>
    <row r="242" spans="7:13" ht="15.75" customHeight="1">
      <c r="G242" s="11"/>
      <c r="K242" s="36"/>
      <c r="L242" s="36"/>
      <c r="M242" s="36"/>
    </row>
    <row r="243" spans="7:13" ht="15.75" customHeight="1">
      <c r="G243" s="11"/>
      <c r="K243" s="36"/>
      <c r="L243" s="36"/>
      <c r="M243" s="36"/>
    </row>
    <row r="244" spans="7:13" ht="15.75" customHeight="1">
      <c r="G244" s="11"/>
      <c r="K244" s="36"/>
      <c r="L244" s="36"/>
      <c r="M244" s="36"/>
    </row>
    <row r="245" spans="7:13" ht="15.75" customHeight="1">
      <c r="G245" s="11"/>
      <c r="K245" s="36"/>
      <c r="L245" s="36"/>
      <c r="M245" s="36"/>
    </row>
    <row r="246" spans="7:13" ht="15.75" customHeight="1">
      <c r="G246" s="11"/>
      <c r="K246" s="36"/>
      <c r="L246" s="36"/>
      <c r="M246" s="36"/>
    </row>
    <row r="247" spans="7:13" ht="15.75" customHeight="1">
      <c r="G247" s="11"/>
      <c r="K247" s="36"/>
      <c r="L247" s="36"/>
      <c r="M247" s="36"/>
    </row>
    <row r="248" spans="7:13" ht="15.75" customHeight="1">
      <c r="G248" s="11"/>
      <c r="K248" s="36"/>
      <c r="L248" s="36"/>
      <c r="M248" s="36"/>
    </row>
    <row r="249" spans="7:13" ht="15.75" customHeight="1">
      <c r="G249" s="11"/>
      <c r="K249" s="36"/>
      <c r="L249" s="36"/>
      <c r="M249" s="36"/>
    </row>
    <row r="250" spans="7:13" ht="15.75" customHeight="1">
      <c r="G250" s="11"/>
      <c r="K250" s="36"/>
      <c r="L250" s="36"/>
      <c r="M250" s="36"/>
    </row>
    <row r="251" spans="7:13" ht="15.75" customHeight="1">
      <c r="G251" s="11"/>
      <c r="K251" s="36"/>
      <c r="L251" s="36"/>
      <c r="M251" s="36"/>
    </row>
    <row r="252" spans="7:13" ht="15.75" customHeight="1">
      <c r="G252" s="11"/>
      <c r="K252" s="36"/>
      <c r="L252" s="36"/>
      <c r="M252" s="36"/>
    </row>
    <row r="253" spans="7:13" ht="15.75" customHeight="1">
      <c r="G253" s="11"/>
      <c r="K253" s="36"/>
      <c r="L253" s="36"/>
      <c r="M253" s="36"/>
    </row>
    <row r="254" spans="7:13" ht="15.75" customHeight="1">
      <c r="G254" s="11"/>
      <c r="K254" s="36"/>
      <c r="L254" s="36"/>
      <c r="M254" s="36"/>
    </row>
    <row r="255" spans="7:13" ht="15.75" customHeight="1">
      <c r="G255" s="11"/>
      <c r="K255" s="36"/>
      <c r="L255" s="36"/>
      <c r="M255" s="36"/>
    </row>
    <row r="256" spans="7:13" ht="15.75" customHeight="1">
      <c r="G256" s="11"/>
      <c r="K256" s="36"/>
      <c r="L256" s="36"/>
      <c r="M256" s="36"/>
    </row>
    <row r="257" spans="7:13" ht="15.75" customHeight="1">
      <c r="G257" s="11"/>
      <c r="K257" s="36"/>
      <c r="L257" s="36"/>
      <c r="M257" s="36"/>
    </row>
    <row r="258" spans="7:13" ht="15.75" customHeight="1">
      <c r="G258" s="11"/>
      <c r="K258" s="36"/>
      <c r="L258" s="36"/>
      <c r="M258" s="36"/>
    </row>
    <row r="259" spans="7:13" ht="15.75" customHeight="1">
      <c r="G259" s="11"/>
      <c r="K259" s="36"/>
      <c r="L259" s="36"/>
      <c r="M259" s="36"/>
    </row>
    <row r="260" spans="7:13" ht="15.75" customHeight="1">
      <c r="G260" s="11"/>
      <c r="K260" s="36"/>
      <c r="L260" s="36"/>
      <c r="M260" s="36"/>
    </row>
    <row r="261" spans="7:13" ht="15.75" customHeight="1">
      <c r="G261" s="11"/>
      <c r="K261" s="36"/>
      <c r="L261" s="36"/>
      <c r="M261" s="36"/>
    </row>
    <row r="262" spans="7:13" ht="15.75" customHeight="1">
      <c r="G262" s="11"/>
      <c r="K262" s="36"/>
      <c r="L262" s="36"/>
      <c r="M262" s="36"/>
    </row>
    <row r="263" spans="7:13" ht="15.75" customHeight="1">
      <c r="G263" s="11"/>
      <c r="K263" s="36"/>
      <c r="L263" s="36"/>
      <c r="M263" s="36"/>
    </row>
    <row r="264" spans="7:13" ht="15.75" customHeight="1">
      <c r="G264" s="11"/>
      <c r="K264" s="36"/>
      <c r="L264" s="36"/>
      <c r="M264" s="36"/>
    </row>
    <row r="265" spans="7:13" ht="15.75" customHeight="1">
      <c r="G265" s="11"/>
      <c r="K265" s="36"/>
      <c r="L265" s="36"/>
      <c r="M265" s="36"/>
    </row>
    <row r="266" spans="7:13" ht="15.75" customHeight="1">
      <c r="G266" s="11"/>
      <c r="K266" s="36"/>
      <c r="L266" s="36"/>
      <c r="M266" s="36"/>
    </row>
    <row r="267" spans="7:13" ht="15.75" customHeight="1">
      <c r="G267" s="11"/>
      <c r="K267" s="36"/>
      <c r="L267" s="36"/>
      <c r="M267" s="36"/>
    </row>
    <row r="268" spans="7:13" ht="15.75" customHeight="1">
      <c r="G268" s="11"/>
      <c r="K268" s="36"/>
      <c r="L268" s="36"/>
      <c r="M268" s="36"/>
    </row>
    <row r="269" spans="7:13" ht="15.75" customHeight="1">
      <c r="G269" s="11"/>
      <c r="K269" s="36"/>
      <c r="L269" s="36"/>
      <c r="M269" s="36"/>
    </row>
    <row r="270" spans="7:13" ht="15.75" customHeight="1">
      <c r="G270" s="11"/>
      <c r="K270" s="36"/>
      <c r="L270" s="36"/>
      <c r="M270" s="36"/>
    </row>
    <row r="271" spans="7:13" ht="15.75" customHeight="1">
      <c r="G271" s="11"/>
      <c r="K271" s="36"/>
      <c r="L271" s="36"/>
      <c r="M271" s="36"/>
    </row>
    <row r="272" spans="7:13" ht="15.75" customHeight="1">
      <c r="G272" s="11"/>
      <c r="K272" s="36"/>
      <c r="L272" s="36"/>
      <c r="M272" s="36"/>
    </row>
    <row r="273" spans="7:13" ht="15.75" customHeight="1">
      <c r="G273" s="11"/>
      <c r="K273" s="36"/>
      <c r="L273" s="36"/>
      <c r="M273" s="36"/>
    </row>
    <row r="274" spans="7:13" ht="15.75" customHeight="1">
      <c r="G274" s="11"/>
      <c r="K274" s="36"/>
      <c r="L274" s="36"/>
      <c r="M274" s="36"/>
    </row>
    <row r="275" spans="7:13" ht="15.75" customHeight="1">
      <c r="G275" s="11"/>
      <c r="K275" s="36"/>
      <c r="L275" s="36"/>
      <c r="M275" s="36"/>
    </row>
    <row r="276" spans="7:13" ht="15.75" customHeight="1">
      <c r="G276" s="11"/>
      <c r="K276" s="36"/>
      <c r="L276" s="36"/>
      <c r="M276" s="36"/>
    </row>
    <row r="277" spans="7:13" ht="15.75" customHeight="1">
      <c r="G277" s="11"/>
      <c r="K277" s="36"/>
      <c r="L277" s="36"/>
      <c r="M277" s="36"/>
    </row>
    <row r="278" spans="7:13" ht="15.75" customHeight="1">
      <c r="G278" s="11"/>
      <c r="K278" s="36"/>
      <c r="L278" s="36"/>
      <c r="M278" s="36"/>
    </row>
    <row r="279" spans="7:13" ht="15.75" customHeight="1">
      <c r="G279" s="11"/>
      <c r="K279" s="36"/>
      <c r="L279" s="36"/>
      <c r="M279" s="36"/>
    </row>
    <row r="280" spans="7:13" ht="15.75" customHeight="1">
      <c r="G280" s="11"/>
      <c r="K280" s="36"/>
      <c r="L280" s="36"/>
      <c r="M280" s="36"/>
    </row>
    <row r="281" spans="7:13" ht="15.75" customHeight="1">
      <c r="G281" s="11"/>
      <c r="K281" s="36"/>
      <c r="L281" s="36"/>
      <c r="M281" s="36"/>
    </row>
    <row r="282" spans="7:13" ht="15.75" customHeight="1">
      <c r="G282" s="11"/>
      <c r="K282" s="36"/>
      <c r="L282" s="36"/>
      <c r="M282" s="36"/>
    </row>
    <row r="283" spans="7:13" ht="15.75" customHeight="1">
      <c r="G283" s="11"/>
      <c r="K283" s="36"/>
      <c r="L283" s="36"/>
      <c r="M283" s="36"/>
    </row>
    <row r="284" spans="7:13" ht="15.75" customHeight="1">
      <c r="G284" s="11"/>
      <c r="K284" s="36"/>
      <c r="L284" s="36"/>
      <c r="M284" s="36"/>
    </row>
    <row r="285" spans="7:13" ht="15.75" customHeight="1">
      <c r="G285" s="11"/>
      <c r="K285" s="36"/>
      <c r="L285" s="36"/>
      <c r="M285" s="36"/>
    </row>
    <row r="286" spans="7:13" ht="15.75" customHeight="1">
      <c r="G286" s="11"/>
      <c r="K286" s="36"/>
      <c r="L286" s="36"/>
      <c r="M286" s="36"/>
    </row>
    <row r="287" spans="7:13" ht="15.75" customHeight="1">
      <c r="G287" s="11"/>
      <c r="K287" s="36"/>
      <c r="L287" s="36"/>
      <c r="M287" s="36"/>
    </row>
    <row r="288" spans="7:13" ht="15.75" customHeight="1">
      <c r="G288" s="11"/>
      <c r="K288" s="36"/>
      <c r="L288" s="36"/>
      <c r="M288" s="36"/>
    </row>
    <row r="289" spans="7:13" ht="15.75" customHeight="1">
      <c r="G289" s="11"/>
      <c r="K289" s="36"/>
      <c r="L289" s="36"/>
      <c r="M289" s="36"/>
    </row>
    <row r="290" spans="7:13" ht="15.75" customHeight="1">
      <c r="G290" s="11"/>
      <c r="K290" s="36"/>
      <c r="L290" s="36"/>
      <c r="M290" s="36"/>
    </row>
    <row r="291" spans="7:13" ht="15.75" customHeight="1">
      <c r="G291" s="11"/>
      <c r="K291" s="36"/>
      <c r="L291" s="36"/>
      <c r="M291" s="36"/>
    </row>
    <row r="292" spans="7:13" ht="15.75" customHeight="1">
      <c r="G292" s="11"/>
      <c r="K292" s="36"/>
      <c r="L292" s="36"/>
      <c r="M292" s="36"/>
    </row>
    <row r="293" spans="7:13" ht="15.75" customHeight="1">
      <c r="G293" s="11"/>
      <c r="K293" s="36"/>
      <c r="L293" s="36"/>
      <c r="M293" s="36"/>
    </row>
    <row r="294" spans="7:13" ht="15.75" customHeight="1">
      <c r="G294" s="11"/>
      <c r="K294" s="36"/>
      <c r="L294" s="36"/>
      <c r="M294" s="36"/>
    </row>
    <row r="295" spans="7:13" ht="15.75" customHeight="1">
      <c r="G295" s="11"/>
      <c r="K295" s="36"/>
      <c r="L295" s="36"/>
      <c r="M295" s="36"/>
    </row>
    <row r="296" spans="7:13" ht="15.75" customHeight="1">
      <c r="G296" s="11"/>
      <c r="K296" s="36"/>
      <c r="L296" s="36"/>
      <c r="M296" s="36"/>
    </row>
    <row r="297" spans="7:13" ht="15.75" customHeight="1">
      <c r="G297" s="11"/>
      <c r="K297" s="36"/>
      <c r="L297" s="36"/>
      <c r="M297" s="36"/>
    </row>
    <row r="298" spans="7:13" ht="15.75" customHeight="1">
      <c r="G298" s="11"/>
      <c r="K298" s="36"/>
      <c r="L298" s="36"/>
      <c r="M298" s="36"/>
    </row>
    <row r="299" spans="7:13" ht="15.75" customHeight="1">
      <c r="G299" s="11"/>
      <c r="K299" s="36"/>
      <c r="L299" s="36"/>
      <c r="M299" s="36"/>
    </row>
    <row r="300" spans="7:13" ht="15.75" customHeight="1">
      <c r="G300" s="11"/>
      <c r="K300" s="36"/>
      <c r="L300" s="36"/>
      <c r="M300" s="36"/>
    </row>
    <row r="301" spans="7:13" ht="15.75" customHeight="1">
      <c r="G301" s="11"/>
      <c r="K301" s="36"/>
      <c r="L301" s="36"/>
      <c r="M301" s="36"/>
    </row>
    <row r="302" spans="7:13" ht="15.75" customHeight="1">
      <c r="G302" s="11"/>
      <c r="K302" s="36"/>
      <c r="L302" s="36"/>
      <c r="M302" s="36"/>
    </row>
    <row r="303" spans="7:13" ht="15.75" customHeight="1">
      <c r="G303" s="11"/>
      <c r="K303" s="36"/>
      <c r="L303" s="36"/>
      <c r="M303" s="36"/>
    </row>
    <row r="304" spans="7:13" ht="15.75" customHeight="1">
      <c r="G304" s="11"/>
      <c r="K304" s="36"/>
      <c r="L304" s="36"/>
      <c r="M304" s="36"/>
    </row>
    <row r="305" spans="7:13" ht="15.75" customHeight="1">
      <c r="G305" s="11"/>
      <c r="K305" s="36"/>
      <c r="L305" s="36"/>
      <c r="M305" s="36"/>
    </row>
    <row r="306" spans="7:13" ht="15.75" customHeight="1">
      <c r="G306" s="11"/>
      <c r="K306" s="36"/>
      <c r="L306" s="36"/>
      <c r="M306" s="36"/>
    </row>
    <row r="307" spans="7:13" ht="15.75" customHeight="1">
      <c r="G307" s="11"/>
      <c r="K307" s="36"/>
      <c r="L307" s="36"/>
      <c r="M307" s="36"/>
    </row>
    <row r="308" spans="7:13" ht="15.75" customHeight="1">
      <c r="G308" s="11"/>
      <c r="K308" s="36"/>
      <c r="L308" s="36"/>
      <c r="M308" s="36"/>
    </row>
    <row r="309" spans="7:13" ht="15.75" customHeight="1">
      <c r="G309" s="11"/>
      <c r="K309" s="36"/>
      <c r="L309" s="36"/>
      <c r="M309" s="36"/>
    </row>
    <row r="310" spans="7:13" ht="15.75" customHeight="1">
      <c r="G310" s="11"/>
      <c r="K310" s="36"/>
      <c r="L310" s="36"/>
      <c r="M310" s="36"/>
    </row>
    <row r="311" spans="7:13" ht="15.75" customHeight="1">
      <c r="G311" s="11"/>
      <c r="K311" s="36"/>
      <c r="L311" s="36"/>
      <c r="M311" s="36"/>
    </row>
    <row r="312" spans="7:13" ht="15.75" customHeight="1">
      <c r="G312" s="11"/>
      <c r="K312" s="36"/>
      <c r="L312" s="36"/>
      <c r="M312" s="36"/>
    </row>
    <row r="313" spans="7:13" ht="15.75" customHeight="1">
      <c r="G313" s="11"/>
      <c r="K313" s="36"/>
      <c r="L313" s="36"/>
      <c r="M313" s="36"/>
    </row>
    <row r="314" spans="7:13" ht="15.75" customHeight="1">
      <c r="G314" s="11"/>
      <c r="K314" s="36"/>
      <c r="L314" s="36"/>
      <c r="M314" s="36"/>
    </row>
    <row r="315" spans="7:13" ht="15.75" customHeight="1">
      <c r="G315" s="11"/>
      <c r="K315" s="36"/>
      <c r="L315" s="36"/>
      <c r="M315" s="36"/>
    </row>
    <row r="316" spans="7:13" ht="15.75" customHeight="1">
      <c r="G316" s="11"/>
      <c r="K316" s="36"/>
      <c r="L316" s="36"/>
      <c r="M316" s="36"/>
    </row>
    <row r="317" spans="7:13" ht="15.75" customHeight="1">
      <c r="G317" s="11"/>
      <c r="K317" s="36"/>
      <c r="L317" s="36"/>
      <c r="M317" s="36"/>
    </row>
    <row r="318" spans="7:13" ht="15.75" customHeight="1">
      <c r="G318" s="11"/>
      <c r="K318" s="36"/>
      <c r="L318" s="36"/>
      <c r="M318" s="36"/>
    </row>
    <row r="319" spans="7:13" ht="15.75" customHeight="1">
      <c r="G319" s="11"/>
      <c r="K319" s="36"/>
      <c r="L319" s="36"/>
      <c r="M319" s="36"/>
    </row>
    <row r="320" spans="7:13" ht="15.75" customHeight="1">
      <c r="G320" s="11"/>
      <c r="K320" s="36"/>
      <c r="L320" s="36"/>
      <c r="M320" s="36"/>
    </row>
    <row r="321" spans="7:13" ht="15.75" customHeight="1">
      <c r="G321" s="11"/>
      <c r="K321" s="36"/>
      <c r="L321" s="36"/>
      <c r="M321" s="36"/>
    </row>
    <row r="322" spans="7:13" ht="15.75" customHeight="1">
      <c r="G322" s="11"/>
      <c r="K322" s="36"/>
      <c r="L322" s="36"/>
      <c r="M322" s="36"/>
    </row>
    <row r="323" spans="7:13" ht="15.75" customHeight="1">
      <c r="G323" s="11"/>
      <c r="K323" s="36"/>
      <c r="L323" s="36"/>
      <c r="M323" s="36"/>
    </row>
    <row r="324" spans="7:13" ht="15.75" customHeight="1">
      <c r="G324" s="11"/>
      <c r="K324" s="36"/>
      <c r="L324" s="36"/>
      <c r="M324" s="36"/>
    </row>
    <row r="325" spans="7:13" ht="15.75" customHeight="1">
      <c r="G325" s="11"/>
      <c r="K325" s="36"/>
      <c r="L325" s="36"/>
      <c r="M325" s="36"/>
    </row>
    <row r="326" spans="7:13" ht="15.75" customHeight="1">
      <c r="G326" s="11"/>
      <c r="K326" s="36"/>
      <c r="L326" s="36"/>
      <c r="M326" s="36"/>
    </row>
    <row r="327" spans="7:13" ht="15.75" customHeight="1">
      <c r="G327" s="11"/>
      <c r="K327" s="36"/>
      <c r="L327" s="36"/>
      <c r="M327" s="36"/>
    </row>
    <row r="328" spans="7:13" ht="15.75" customHeight="1">
      <c r="G328" s="11"/>
      <c r="K328" s="36"/>
      <c r="L328" s="36"/>
      <c r="M328" s="36"/>
    </row>
    <row r="329" spans="7:13" ht="15.75" customHeight="1">
      <c r="G329" s="11"/>
      <c r="K329" s="36"/>
      <c r="L329" s="36"/>
      <c r="M329" s="36"/>
    </row>
    <row r="330" spans="7:13" ht="15.75" customHeight="1">
      <c r="G330" s="11"/>
      <c r="K330" s="36"/>
      <c r="L330" s="36"/>
      <c r="M330" s="36"/>
    </row>
    <row r="331" spans="7:13" ht="15.75" customHeight="1">
      <c r="G331" s="11"/>
      <c r="K331" s="36"/>
      <c r="L331" s="36"/>
      <c r="M331" s="36"/>
    </row>
    <row r="332" spans="7:13" ht="15.75" customHeight="1">
      <c r="G332" s="11"/>
      <c r="K332" s="36"/>
      <c r="L332" s="36"/>
      <c r="M332" s="36"/>
    </row>
    <row r="333" spans="7:13" ht="15.75" customHeight="1">
      <c r="G333" s="11"/>
      <c r="K333" s="36"/>
      <c r="L333" s="36"/>
      <c r="M333" s="36"/>
    </row>
    <row r="334" spans="7:13" ht="15.75" customHeight="1">
      <c r="G334" s="11"/>
      <c r="K334" s="36"/>
      <c r="L334" s="36"/>
      <c r="M334" s="36"/>
    </row>
    <row r="335" spans="7:13" ht="15.75" customHeight="1">
      <c r="G335" s="11"/>
      <c r="K335" s="36"/>
      <c r="L335" s="36"/>
      <c r="M335" s="36"/>
    </row>
    <row r="336" spans="7:13" ht="15.75" customHeight="1">
      <c r="G336" s="11"/>
      <c r="K336" s="36"/>
      <c r="L336" s="36"/>
      <c r="M336" s="36"/>
    </row>
    <row r="337" spans="7:13" ht="15.75" customHeight="1">
      <c r="G337" s="11"/>
      <c r="K337" s="36"/>
      <c r="L337" s="36"/>
      <c r="M337" s="36"/>
    </row>
    <row r="338" spans="7:13" ht="15.75" customHeight="1">
      <c r="G338" s="11"/>
      <c r="K338" s="36"/>
      <c r="L338" s="36"/>
      <c r="M338" s="36"/>
    </row>
    <row r="339" spans="7:13" ht="15.75" customHeight="1">
      <c r="G339" s="11"/>
      <c r="K339" s="36"/>
      <c r="L339" s="36"/>
      <c r="M339" s="36"/>
    </row>
    <row r="340" spans="7:13" ht="15.75" customHeight="1">
      <c r="G340" s="11"/>
      <c r="K340" s="36"/>
      <c r="L340" s="36"/>
      <c r="M340" s="36"/>
    </row>
    <row r="341" spans="7:13" ht="15.75" customHeight="1">
      <c r="G341" s="11"/>
      <c r="K341" s="36"/>
      <c r="L341" s="36"/>
      <c r="M341" s="36"/>
    </row>
    <row r="342" spans="7:13" ht="15.75" customHeight="1">
      <c r="G342" s="11"/>
      <c r="K342" s="36"/>
      <c r="L342" s="36"/>
      <c r="M342" s="36"/>
    </row>
    <row r="343" spans="7:13" ht="15.75" customHeight="1">
      <c r="G343" s="11"/>
      <c r="K343" s="36"/>
      <c r="L343" s="36"/>
      <c r="M343" s="36"/>
    </row>
    <row r="344" spans="7:13" ht="15.75" customHeight="1">
      <c r="G344" s="11"/>
      <c r="K344" s="36"/>
      <c r="L344" s="36"/>
      <c r="M344" s="36"/>
    </row>
    <row r="345" spans="7:13" ht="15.75" customHeight="1">
      <c r="G345" s="11"/>
      <c r="K345" s="36"/>
      <c r="L345" s="36"/>
      <c r="M345" s="36"/>
    </row>
    <row r="346" spans="7:13" ht="15.75" customHeight="1">
      <c r="G346" s="11"/>
      <c r="K346" s="36"/>
      <c r="L346" s="36"/>
      <c r="M346" s="36"/>
    </row>
    <row r="347" spans="7:13" ht="15.75" customHeight="1">
      <c r="G347" s="11"/>
      <c r="K347" s="36"/>
      <c r="L347" s="36"/>
      <c r="M347" s="36"/>
    </row>
    <row r="348" spans="7:13" ht="15.75" customHeight="1">
      <c r="G348" s="11"/>
      <c r="K348" s="36"/>
      <c r="L348" s="36"/>
      <c r="M348" s="36"/>
    </row>
    <row r="349" spans="7:13" ht="15.75" customHeight="1">
      <c r="G349" s="11"/>
      <c r="K349" s="36"/>
      <c r="L349" s="36"/>
      <c r="M349" s="36"/>
    </row>
    <row r="350" spans="7:13" ht="15.75" customHeight="1">
      <c r="G350" s="11"/>
      <c r="K350" s="36"/>
      <c r="L350" s="36"/>
      <c r="M350" s="36"/>
    </row>
    <row r="351" spans="7:13" ht="15.75" customHeight="1">
      <c r="G351" s="11"/>
      <c r="K351" s="36"/>
      <c r="L351" s="36"/>
      <c r="M351" s="36"/>
    </row>
    <row r="352" spans="7:13" ht="15.75" customHeight="1">
      <c r="G352" s="11"/>
      <c r="K352" s="36"/>
      <c r="L352" s="36"/>
      <c r="M352" s="36"/>
    </row>
    <row r="353" spans="7:13" ht="15.75" customHeight="1">
      <c r="G353" s="11"/>
      <c r="K353" s="36"/>
      <c r="L353" s="36"/>
      <c r="M353" s="36"/>
    </row>
    <row r="354" spans="7:13" ht="15.75" customHeight="1">
      <c r="G354" s="11"/>
      <c r="K354" s="36"/>
      <c r="L354" s="36"/>
      <c r="M354" s="36"/>
    </row>
    <row r="355" spans="7:13" ht="15.75" customHeight="1">
      <c r="G355" s="11"/>
      <c r="K355" s="36"/>
      <c r="L355" s="36"/>
      <c r="M355" s="36"/>
    </row>
    <row r="356" spans="7:13" ht="15.75" customHeight="1">
      <c r="G356" s="11"/>
      <c r="K356" s="36"/>
      <c r="L356" s="36"/>
      <c r="M356" s="36"/>
    </row>
    <row r="357" spans="7:13" ht="15.75" customHeight="1">
      <c r="G357" s="11"/>
      <c r="K357" s="36"/>
      <c r="L357" s="36"/>
      <c r="M357" s="36"/>
    </row>
    <row r="358" spans="7:13" ht="15.75" customHeight="1">
      <c r="G358" s="11"/>
      <c r="K358" s="36"/>
      <c r="L358" s="36"/>
      <c r="M358" s="36"/>
    </row>
    <row r="359" spans="7:13" ht="15.75" customHeight="1">
      <c r="G359" s="11"/>
      <c r="K359" s="36"/>
      <c r="L359" s="36"/>
      <c r="M359" s="36"/>
    </row>
    <row r="360" spans="7:13" ht="15.75" customHeight="1">
      <c r="G360" s="11"/>
      <c r="K360" s="36"/>
      <c r="L360" s="36"/>
      <c r="M360" s="36"/>
    </row>
    <row r="361" spans="7:13" ht="15.75" customHeight="1">
      <c r="G361" s="11"/>
      <c r="K361" s="36"/>
      <c r="L361" s="36"/>
      <c r="M361" s="36"/>
    </row>
    <row r="362" spans="7:13" ht="15.75" customHeight="1">
      <c r="G362" s="11"/>
      <c r="K362" s="36"/>
      <c r="L362" s="36"/>
      <c r="M362" s="36"/>
    </row>
    <row r="363" spans="7:13" ht="15.75" customHeight="1">
      <c r="G363" s="11"/>
      <c r="K363" s="36"/>
      <c r="L363" s="36"/>
      <c r="M363" s="36"/>
    </row>
    <row r="364" spans="7:13" ht="15.75" customHeight="1">
      <c r="G364" s="11"/>
      <c r="K364" s="36"/>
      <c r="L364" s="36"/>
      <c r="M364" s="36"/>
    </row>
    <row r="365" spans="7:13" ht="15.75" customHeight="1">
      <c r="G365" s="11"/>
      <c r="K365" s="36"/>
      <c r="L365" s="36"/>
      <c r="M365" s="36"/>
    </row>
    <row r="366" spans="7:13" ht="15.75" customHeight="1">
      <c r="G366" s="11"/>
      <c r="K366" s="36"/>
      <c r="L366" s="36"/>
      <c r="M366" s="36"/>
    </row>
    <row r="367" spans="7:13" ht="15.75" customHeight="1">
      <c r="G367" s="11"/>
      <c r="K367" s="36"/>
      <c r="L367" s="36"/>
      <c r="M367" s="36"/>
    </row>
    <row r="368" spans="7:13" ht="15.75" customHeight="1">
      <c r="G368" s="11"/>
      <c r="K368" s="36"/>
      <c r="L368" s="36"/>
      <c r="M368" s="36"/>
    </row>
    <row r="369" spans="7:13" ht="15.75" customHeight="1">
      <c r="G369" s="11"/>
      <c r="K369" s="36"/>
      <c r="L369" s="36"/>
      <c r="M369" s="36"/>
    </row>
    <row r="370" spans="7:13" ht="15.75" customHeight="1">
      <c r="G370" s="11"/>
      <c r="K370" s="36"/>
      <c r="L370" s="36"/>
      <c r="M370" s="36"/>
    </row>
    <row r="371" spans="7:13" ht="15.75" customHeight="1">
      <c r="G371" s="11"/>
      <c r="K371" s="36"/>
      <c r="L371" s="36"/>
      <c r="M371" s="36"/>
    </row>
    <row r="372" spans="7:13" ht="15.75" customHeight="1">
      <c r="G372" s="11"/>
      <c r="K372" s="36"/>
      <c r="L372" s="36"/>
      <c r="M372" s="36"/>
    </row>
    <row r="373" spans="7:13" ht="15.75" customHeight="1">
      <c r="G373" s="11"/>
      <c r="K373" s="36"/>
      <c r="L373" s="36"/>
      <c r="M373" s="36"/>
    </row>
    <row r="374" spans="7:13" ht="15.75" customHeight="1">
      <c r="G374" s="11"/>
      <c r="K374" s="36"/>
      <c r="L374" s="36"/>
      <c r="M374" s="36"/>
    </row>
    <row r="375" spans="7:13" ht="15.75" customHeight="1">
      <c r="G375" s="11"/>
      <c r="K375" s="36"/>
      <c r="L375" s="36"/>
      <c r="M375" s="36"/>
    </row>
    <row r="376" spans="7:13" ht="15.75" customHeight="1">
      <c r="G376" s="11"/>
      <c r="K376" s="36"/>
      <c r="L376" s="36"/>
      <c r="M376" s="36"/>
    </row>
    <row r="377" spans="7:13" ht="15.75" customHeight="1">
      <c r="G377" s="11"/>
      <c r="K377" s="36"/>
      <c r="L377" s="36"/>
      <c r="M377" s="36"/>
    </row>
    <row r="378" spans="7:13" ht="15.75" customHeight="1">
      <c r="G378" s="11"/>
      <c r="K378" s="36"/>
      <c r="L378" s="36"/>
      <c r="M378" s="36"/>
    </row>
    <row r="379" spans="7:13" ht="15.75" customHeight="1">
      <c r="G379" s="11"/>
      <c r="K379" s="36"/>
      <c r="L379" s="36"/>
      <c r="M379" s="36"/>
    </row>
    <row r="380" spans="7:13" ht="15.75" customHeight="1">
      <c r="G380" s="11"/>
      <c r="K380" s="36"/>
      <c r="L380" s="36"/>
      <c r="M380" s="36"/>
    </row>
    <row r="381" spans="7:13" ht="15.75" customHeight="1">
      <c r="G381" s="11"/>
      <c r="K381" s="36"/>
      <c r="L381" s="36"/>
      <c r="M381" s="36"/>
    </row>
    <row r="382" spans="7:13" ht="15.75" customHeight="1">
      <c r="G382" s="11"/>
      <c r="K382" s="36"/>
      <c r="L382" s="36"/>
      <c r="M382" s="36"/>
    </row>
    <row r="383" spans="7:13" ht="15.75" customHeight="1">
      <c r="G383" s="11"/>
      <c r="K383" s="36"/>
      <c r="L383" s="36"/>
      <c r="M383" s="36"/>
    </row>
    <row r="384" spans="7:13" ht="15.75" customHeight="1">
      <c r="G384" s="11"/>
      <c r="K384" s="36"/>
      <c r="L384" s="36"/>
      <c r="M384" s="36"/>
    </row>
    <row r="385" spans="7:13" ht="15.75" customHeight="1">
      <c r="G385" s="11"/>
      <c r="K385" s="36"/>
      <c r="L385" s="36"/>
      <c r="M385" s="36"/>
    </row>
    <row r="386" spans="7:13" ht="15.75" customHeight="1">
      <c r="G386" s="11"/>
      <c r="K386" s="36"/>
      <c r="L386" s="36"/>
      <c r="M386" s="36"/>
    </row>
    <row r="387" spans="7:13" ht="15.75" customHeight="1">
      <c r="G387" s="11"/>
      <c r="K387" s="36"/>
      <c r="L387" s="36"/>
      <c r="M387" s="36"/>
    </row>
    <row r="388" spans="7:13" ht="15.75" customHeight="1">
      <c r="G388" s="11"/>
      <c r="K388" s="36"/>
      <c r="L388" s="36"/>
      <c r="M388" s="36"/>
    </row>
    <row r="389" spans="7:13" ht="15.75" customHeight="1">
      <c r="G389" s="11"/>
      <c r="K389" s="36"/>
      <c r="L389" s="36"/>
      <c r="M389" s="36"/>
    </row>
    <row r="390" spans="7:13" ht="15.75" customHeight="1">
      <c r="G390" s="11"/>
      <c r="K390" s="36"/>
      <c r="L390" s="36"/>
      <c r="M390" s="36"/>
    </row>
    <row r="391" spans="7:13" ht="15.75" customHeight="1">
      <c r="G391" s="11"/>
      <c r="K391" s="36"/>
      <c r="L391" s="36"/>
      <c r="M391" s="36"/>
    </row>
    <row r="392" spans="7:13" ht="15.75" customHeight="1">
      <c r="G392" s="11"/>
      <c r="K392" s="36"/>
      <c r="L392" s="36"/>
      <c r="M392" s="36"/>
    </row>
    <row r="393" spans="7:13" ht="15.75" customHeight="1">
      <c r="G393" s="11"/>
      <c r="K393" s="36"/>
      <c r="L393" s="36"/>
      <c r="M393" s="36"/>
    </row>
    <row r="394" spans="7:13" ht="15.75" customHeight="1">
      <c r="G394" s="11"/>
      <c r="K394" s="36"/>
      <c r="L394" s="36"/>
      <c r="M394" s="36"/>
    </row>
    <row r="395" spans="7:13" ht="15.75" customHeight="1">
      <c r="G395" s="11"/>
      <c r="K395" s="36"/>
      <c r="L395" s="36"/>
      <c r="M395" s="36"/>
    </row>
    <row r="396" spans="7:13" ht="15.75" customHeight="1">
      <c r="G396" s="11"/>
      <c r="K396" s="36"/>
      <c r="L396" s="36"/>
      <c r="M396" s="36"/>
    </row>
    <row r="397" spans="7:13" ht="15.75" customHeight="1">
      <c r="G397" s="11"/>
      <c r="K397" s="36"/>
      <c r="L397" s="36"/>
      <c r="M397" s="36"/>
    </row>
    <row r="398" spans="7:13" ht="15.75" customHeight="1">
      <c r="G398" s="11"/>
      <c r="K398" s="36"/>
      <c r="L398" s="36"/>
      <c r="M398" s="36"/>
    </row>
    <row r="399" spans="7:13" ht="15.75" customHeight="1">
      <c r="G399" s="11"/>
      <c r="K399" s="36"/>
      <c r="L399" s="36"/>
      <c r="M399" s="36"/>
    </row>
    <row r="400" spans="7:13" ht="15.75" customHeight="1">
      <c r="G400" s="11"/>
      <c r="K400" s="36"/>
      <c r="L400" s="36"/>
      <c r="M400" s="36"/>
    </row>
    <row r="401" spans="7:13" ht="15.75" customHeight="1">
      <c r="G401" s="11"/>
      <c r="K401" s="36"/>
      <c r="L401" s="36"/>
      <c r="M401" s="36"/>
    </row>
    <row r="402" spans="7:13" ht="15.75" customHeight="1">
      <c r="G402" s="11"/>
      <c r="K402" s="36"/>
      <c r="L402" s="36"/>
      <c r="M402" s="36"/>
    </row>
    <row r="403" spans="7:13" ht="15.75" customHeight="1">
      <c r="G403" s="11"/>
      <c r="K403" s="36"/>
      <c r="L403" s="36"/>
      <c r="M403" s="36"/>
    </row>
    <row r="404" spans="7:13" ht="15.75" customHeight="1">
      <c r="G404" s="11"/>
      <c r="K404" s="36"/>
      <c r="L404" s="36"/>
      <c r="M404" s="36"/>
    </row>
    <row r="405" spans="7:13" ht="15.75" customHeight="1">
      <c r="G405" s="11"/>
      <c r="K405" s="36"/>
      <c r="L405" s="36"/>
      <c r="M405" s="36"/>
    </row>
    <row r="406" spans="7:13" ht="15.75" customHeight="1">
      <c r="G406" s="11"/>
      <c r="K406" s="36"/>
      <c r="L406" s="36"/>
      <c r="M406" s="36"/>
    </row>
    <row r="407" spans="7:13" ht="15.75" customHeight="1">
      <c r="G407" s="11"/>
      <c r="K407" s="36"/>
      <c r="L407" s="36"/>
      <c r="M407" s="36"/>
    </row>
    <row r="408" spans="7:13" ht="15.75" customHeight="1">
      <c r="G408" s="11"/>
      <c r="K408" s="36"/>
      <c r="L408" s="36"/>
      <c r="M408" s="36"/>
    </row>
    <row r="409" spans="7:13" ht="15.75" customHeight="1">
      <c r="G409" s="11"/>
      <c r="K409" s="36"/>
      <c r="L409" s="36"/>
      <c r="M409" s="36"/>
    </row>
    <row r="410" spans="7:13" ht="15.75" customHeight="1">
      <c r="G410" s="11"/>
      <c r="K410" s="36"/>
      <c r="L410" s="36"/>
      <c r="M410" s="36"/>
    </row>
    <row r="411" spans="7:13" ht="15.75" customHeight="1">
      <c r="G411" s="11"/>
      <c r="K411" s="36"/>
      <c r="L411" s="36"/>
      <c r="M411" s="36"/>
    </row>
    <row r="412" spans="7:13" ht="15.75" customHeight="1">
      <c r="G412" s="11"/>
      <c r="K412" s="36"/>
      <c r="L412" s="36"/>
      <c r="M412" s="36"/>
    </row>
    <row r="413" spans="7:13" ht="15.75" customHeight="1">
      <c r="G413" s="11"/>
      <c r="K413" s="36"/>
      <c r="L413" s="36"/>
      <c r="M413" s="36"/>
    </row>
    <row r="414" spans="7:13" ht="15.75" customHeight="1">
      <c r="G414" s="11"/>
      <c r="K414" s="36"/>
      <c r="L414" s="36"/>
      <c r="M414" s="36"/>
    </row>
    <row r="415" spans="7:13" ht="15.75" customHeight="1">
      <c r="G415" s="11"/>
      <c r="K415" s="36"/>
      <c r="L415" s="36"/>
      <c r="M415" s="36"/>
    </row>
    <row r="416" spans="7:13" ht="15.75" customHeight="1">
      <c r="G416" s="11"/>
      <c r="K416" s="36"/>
      <c r="L416" s="36"/>
      <c r="M416" s="36"/>
    </row>
    <row r="417" spans="7:13" ht="15.75" customHeight="1">
      <c r="G417" s="11"/>
      <c r="K417" s="36"/>
      <c r="L417" s="36"/>
      <c r="M417" s="36"/>
    </row>
    <row r="418" spans="7:13" ht="15.75" customHeight="1">
      <c r="G418" s="11"/>
      <c r="K418" s="36"/>
      <c r="L418" s="36"/>
      <c r="M418" s="36"/>
    </row>
    <row r="419" spans="7:13" ht="15.75" customHeight="1">
      <c r="G419" s="11"/>
      <c r="K419" s="36"/>
      <c r="L419" s="36"/>
      <c r="M419" s="36"/>
    </row>
    <row r="420" spans="7:13" ht="15.75" customHeight="1">
      <c r="G420" s="11"/>
      <c r="K420" s="36"/>
      <c r="L420" s="36"/>
      <c r="M420" s="36"/>
    </row>
    <row r="421" spans="7:13" ht="15.75" customHeight="1">
      <c r="G421" s="11"/>
      <c r="K421" s="36"/>
      <c r="L421" s="36"/>
      <c r="M421" s="36"/>
    </row>
    <row r="422" spans="7:13" ht="15.75" customHeight="1">
      <c r="G422" s="11"/>
      <c r="K422" s="36"/>
      <c r="L422" s="36"/>
      <c r="M422" s="36"/>
    </row>
    <row r="423" spans="7:13" ht="15.75" customHeight="1">
      <c r="G423" s="11"/>
      <c r="K423" s="36"/>
      <c r="L423" s="36"/>
      <c r="M423" s="36"/>
    </row>
    <row r="424" spans="7:13" ht="15.75" customHeight="1">
      <c r="G424" s="11"/>
      <c r="K424" s="36"/>
      <c r="L424" s="36"/>
      <c r="M424" s="36"/>
    </row>
    <row r="425" spans="7:13" ht="15.75" customHeight="1">
      <c r="G425" s="11"/>
      <c r="K425" s="36"/>
      <c r="L425" s="36"/>
      <c r="M425" s="36"/>
    </row>
    <row r="426" spans="7:13" ht="15.75" customHeight="1">
      <c r="G426" s="11"/>
      <c r="K426" s="36"/>
      <c r="L426" s="36"/>
      <c r="M426" s="36"/>
    </row>
    <row r="427" spans="7:13" ht="15.75" customHeight="1">
      <c r="G427" s="11"/>
      <c r="K427" s="36"/>
      <c r="L427" s="36"/>
      <c r="M427" s="36"/>
    </row>
    <row r="428" spans="7:13" ht="15.75" customHeight="1">
      <c r="G428" s="11"/>
      <c r="K428" s="36"/>
      <c r="L428" s="36"/>
      <c r="M428" s="36"/>
    </row>
    <row r="429" spans="7:13" ht="15.75" customHeight="1">
      <c r="G429" s="11"/>
      <c r="K429" s="36"/>
      <c r="L429" s="36"/>
      <c r="M429" s="36"/>
    </row>
    <row r="430" spans="7:13" ht="15.75" customHeight="1">
      <c r="G430" s="11"/>
      <c r="K430" s="36"/>
      <c r="L430" s="36"/>
      <c r="M430" s="36"/>
    </row>
    <row r="431" spans="7:13" ht="15.75" customHeight="1">
      <c r="G431" s="11"/>
      <c r="K431" s="36"/>
      <c r="L431" s="36"/>
      <c r="M431" s="36"/>
    </row>
    <row r="432" spans="7:13" ht="15.75" customHeight="1">
      <c r="G432" s="11"/>
      <c r="K432" s="36"/>
      <c r="L432" s="36"/>
      <c r="M432" s="36"/>
    </row>
    <row r="433" spans="7:13" ht="15.75" customHeight="1">
      <c r="G433" s="11"/>
      <c r="K433" s="36"/>
      <c r="L433" s="36"/>
      <c r="M433" s="36"/>
    </row>
    <row r="434" spans="7:13" ht="15.75" customHeight="1">
      <c r="G434" s="11"/>
      <c r="K434" s="36"/>
      <c r="L434" s="36"/>
      <c r="M434" s="36"/>
    </row>
    <row r="435" spans="7:13" ht="15.75" customHeight="1">
      <c r="G435" s="11"/>
      <c r="K435" s="36"/>
      <c r="L435" s="36"/>
      <c r="M435" s="36"/>
    </row>
    <row r="436" spans="7:13" ht="15.75" customHeight="1">
      <c r="G436" s="11"/>
      <c r="K436" s="36"/>
      <c r="L436" s="36"/>
      <c r="M436" s="36"/>
    </row>
    <row r="437" spans="7:13" ht="15.75" customHeight="1">
      <c r="G437" s="11"/>
      <c r="K437" s="36"/>
      <c r="L437" s="36"/>
      <c r="M437" s="36"/>
    </row>
    <row r="438" spans="7:13" ht="15.75" customHeight="1">
      <c r="G438" s="11"/>
      <c r="K438" s="36"/>
      <c r="L438" s="36"/>
      <c r="M438" s="36"/>
    </row>
    <row r="439" spans="7:13" ht="15.75" customHeight="1">
      <c r="G439" s="11"/>
      <c r="K439" s="36"/>
      <c r="L439" s="36"/>
      <c r="M439" s="36"/>
    </row>
    <row r="440" spans="7:13" ht="15.75" customHeight="1">
      <c r="G440" s="11"/>
      <c r="K440" s="36"/>
      <c r="L440" s="36"/>
      <c r="M440" s="36"/>
    </row>
    <row r="441" spans="7:13" ht="15.75" customHeight="1">
      <c r="G441" s="11"/>
      <c r="K441" s="36"/>
      <c r="L441" s="36"/>
      <c r="M441" s="36"/>
    </row>
    <row r="442" spans="7:13" ht="15.75" customHeight="1">
      <c r="G442" s="11"/>
      <c r="K442" s="36"/>
      <c r="L442" s="36"/>
      <c r="M442" s="36"/>
    </row>
    <row r="443" spans="7:13" ht="15.75" customHeight="1">
      <c r="G443" s="11"/>
      <c r="K443" s="36"/>
      <c r="L443" s="36"/>
      <c r="M443" s="36"/>
    </row>
    <row r="444" spans="7:13" ht="15.75" customHeight="1">
      <c r="G444" s="11"/>
      <c r="K444" s="36"/>
      <c r="L444" s="36"/>
      <c r="M444" s="36"/>
    </row>
    <row r="445" spans="7:13" ht="15.75" customHeight="1">
      <c r="G445" s="11"/>
      <c r="K445" s="36"/>
      <c r="L445" s="36"/>
      <c r="M445" s="36"/>
    </row>
    <row r="446" spans="7:13" ht="15.75" customHeight="1">
      <c r="G446" s="11"/>
      <c r="K446" s="36"/>
      <c r="L446" s="36"/>
      <c r="M446" s="36"/>
    </row>
    <row r="447" spans="7:13" ht="15.75" customHeight="1">
      <c r="G447" s="11"/>
      <c r="K447" s="36"/>
      <c r="L447" s="36"/>
      <c r="M447" s="36"/>
    </row>
    <row r="448" spans="7:13" ht="15.75" customHeight="1">
      <c r="G448" s="11"/>
      <c r="K448" s="36"/>
      <c r="L448" s="36"/>
      <c r="M448" s="36"/>
    </row>
    <row r="449" spans="7:13" ht="15.75" customHeight="1">
      <c r="G449" s="11"/>
      <c r="K449" s="36"/>
      <c r="L449" s="36"/>
      <c r="M449" s="36"/>
    </row>
    <row r="450" spans="7:13" ht="15.75" customHeight="1">
      <c r="G450" s="11"/>
      <c r="K450" s="36"/>
      <c r="L450" s="36"/>
      <c r="M450" s="36"/>
    </row>
    <row r="451" spans="7:13" ht="15.75" customHeight="1">
      <c r="G451" s="11"/>
      <c r="K451" s="36"/>
      <c r="L451" s="36"/>
      <c r="M451" s="36"/>
    </row>
    <row r="452" spans="7:13" ht="15.75" customHeight="1">
      <c r="G452" s="11"/>
      <c r="K452" s="36"/>
      <c r="L452" s="36"/>
      <c r="M452" s="36"/>
    </row>
    <row r="453" spans="7:13" ht="15.75" customHeight="1">
      <c r="G453" s="11"/>
      <c r="K453" s="36"/>
      <c r="L453" s="36"/>
      <c r="M453" s="36"/>
    </row>
    <row r="454" spans="7:13" ht="15.75" customHeight="1">
      <c r="G454" s="11"/>
      <c r="K454" s="36"/>
      <c r="L454" s="36"/>
      <c r="M454" s="36"/>
    </row>
    <row r="455" spans="7:13" ht="15.75" customHeight="1">
      <c r="G455" s="11"/>
      <c r="K455" s="36"/>
      <c r="L455" s="36"/>
      <c r="M455" s="36"/>
    </row>
    <row r="456" spans="7:13" ht="15.75" customHeight="1">
      <c r="G456" s="11"/>
      <c r="K456" s="36"/>
      <c r="L456" s="36"/>
      <c r="M456" s="36"/>
    </row>
    <row r="457" spans="7:13" ht="15.75" customHeight="1">
      <c r="G457" s="11"/>
      <c r="K457" s="36"/>
      <c r="L457" s="36"/>
      <c r="M457" s="36"/>
    </row>
    <row r="458" spans="7:13" ht="15.75" customHeight="1">
      <c r="G458" s="11"/>
      <c r="K458" s="36"/>
      <c r="L458" s="36"/>
      <c r="M458" s="36"/>
    </row>
    <row r="459" spans="7:13" ht="15.75" customHeight="1">
      <c r="G459" s="11"/>
      <c r="K459" s="36"/>
      <c r="L459" s="36"/>
      <c r="M459" s="36"/>
    </row>
    <row r="460" spans="7:13" ht="15.75" customHeight="1">
      <c r="G460" s="11"/>
      <c r="K460" s="36"/>
      <c r="L460" s="36"/>
      <c r="M460" s="36"/>
    </row>
    <row r="461" spans="7:13" ht="15.75" customHeight="1">
      <c r="G461" s="11"/>
      <c r="K461" s="36"/>
      <c r="L461" s="36"/>
      <c r="M461" s="36"/>
    </row>
    <row r="462" spans="7:13" ht="15.75" customHeight="1">
      <c r="G462" s="11"/>
      <c r="K462" s="36"/>
      <c r="L462" s="36"/>
      <c r="M462" s="36"/>
    </row>
    <row r="463" spans="7:13" ht="15.75" customHeight="1">
      <c r="G463" s="11"/>
      <c r="K463" s="36"/>
      <c r="L463" s="36"/>
      <c r="M463" s="36"/>
    </row>
    <row r="464" spans="7:13" ht="15.75" customHeight="1">
      <c r="G464" s="11"/>
      <c r="K464" s="36"/>
      <c r="L464" s="36"/>
      <c r="M464" s="36"/>
    </row>
    <row r="465" spans="7:13" ht="15.75" customHeight="1">
      <c r="G465" s="11"/>
      <c r="K465" s="36"/>
      <c r="L465" s="36"/>
      <c r="M465" s="36"/>
    </row>
    <row r="466" spans="7:13" ht="15.75" customHeight="1">
      <c r="G466" s="11"/>
      <c r="K466" s="36"/>
      <c r="L466" s="36"/>
      <c r="M466" s="36"/>
    </row>
    <row r="467" spans="7:13" ht="15.75" customHeight="1">
      <c r="G467" s="11"/>
      <c r="K467" s="36"/>
      <c r="L467" s="36"/>
      <c r="M467" s="36"/>
    </row>
    <row r="468" spans="7:13" ht="15.75" customHeight="1">
      <c r="G468" s="11"/>
      <c r="K468" s="36"/>
      <c r="L468" s="36"/>
      <c r="M468" s="36"/>
    </row>
    <row r="469" spans="7:13" ht="15.75" customHeight="1">
      <c r="G469" s="11"/>
      <c r="K469" s="36"/>
      <c r="L469" s="36"/>
      <c r="M469" s="36"/>
    </row>
    <row r="470" spans="7:13" ht="15.75" customHeight="1">
      <c r="G470" s="11"/>
      <c r="K470" s="36"/>
      <c r="L470" s="36"/>
      <c r="M470" s="36"/>
    </row>
    <row r="471" spans="7:13" ht="15.75" customHeight="1">
      <c r="G471" s="11"/>
      <c r="K471" s="36"/>
      <c r="L471" s="36"/>
      <c r="M471" s="36"/>
    </row>
    <row r="472" spans="7:13" ht="15.75" customHeight="1">
      <c r="G472" s="11"/>
      <c r="K472" s="36"/>
      <c r="L472" s="36"/>
      <c r="M472" s="36"/>
    </row>
    <row r="473" spans="7:13" ht="15.75" customHeight="1">
      <c r="G473" s="11"/>
      <c r="K473" s="36"/>
      <c r="L473" s="36"/>
      <c r="M473" s="36"/>
    </row>
    <row r="474" spans="7:13" ht="15.75" customHeight="1">
      <c r="G474" s="11"/>
      <c r="K474" s="36"/>
      <c r="L474" s="36"/>
      <c r="M474" s="36"/>
    </row>
    <row r="475" spans="7:13" ht="15.75" customHeight="1">
      <c r="G475" s="11"/>
      <c r="K475" s="36"/>
      <c r="L475" s="36"/>
      <c r="M475" s="36"/>
    </row>
    <row r="476" spans="7:13" ht="15.75" customHeight="1">
      <c r="G476" s="11"/>
      <c r="K476" s="36"/>
      <c r="L476" s="36"/>
      <c r="M476" s="36"/>
    </row>
    <row r="477" spans="7:13" ht="15.75" customHeight="1">
      <c r="G477" s="11"/>
      <c r="K477" s="36"/>
      <c r="L477" s="36"/>
      <c r="M477" s="36"/>
    </row>
    <row r="478" spans="7:13" ht="15.75" customHeight="1">
      <c r="G478" s="11"/>
      <c r="K478" s="36"/>
      <c r="L478" s="36"/>
      <c r="M478" s="36"/>
    </row>
    <row r="479" spans="7:13" ht="15.75" customHeight="1">
      <c r="G479" s="11"/>
      <c r="K479" s="36"/>
      <c r="L479" s="36"/>
      <c r="M479" s="36"/>
    </row>
    <row r="480" spans="7:13" ht="15.75" customHeight="1">
      <c r="G480" s="11"/>
      <c r="K480" s="36"/>
      <c r="L480" s="36"/>
      <c r="M480" s="36"/>
    </row>
    <row r="481" spans="7:13" ht="15.75" customHeight="1">
      <c r="G481" s="11"/>
      <c r="K481" s="36"/>
      <c r="L481" s="36"/>
      <c r="M481" s="36"/>
    </row>
    <row r="482" spans="7:13" ht="15.75" customHeight="1">
      <c r="G482" s="11"/>
      <c r="K482" s="36"/>
      <c r="L482" s="36"/>
      <c r="M482" s="36"/>
    </row>
    <row r="483" spans="7:13" ht="15.75" customHeight="1">
      <c r="G483" s="11"/>
      <c r="K483" s="36"/>
      <c r="L483" s="36"/>
      <c r="M483" s="36"/>
    </row>
    <row r="484" spans="7:13" ht="15.75" customHeight="1">
      <c r="G484" s="11"/>
      <c r="K484" s="36"/>
      <c r="L484" s="36"/>
      <c r="M484" s="36"/>
    </row>
    <row r="485" spans="7:13" ht="15.75" customHeight="1">
      <c r="G485" s="11"/>
      <c r="K485" s="36"/>
      <c r="L485" s="36"/>
      <c r="M485" s="36"/>
    </row>
    <row r="486" spans="7:13" ht="15.75" customHeight="1">
      <c r="G486" s="11"/>
      <c r="K486" s="36"/>
      <c r="L486" s="36"/>
      <c r="M486" s="36"/>
    </row>
    <row r="487" spans="7:13" ht="15.75" customHeight="1">
      <c r="G487" s="11"/>
      <c r="K487" s="36"/>
      <c r="L487" s="36"/>
      <c r="M487" s="36"/>
    </row>
    <row r="488" spans="7:13" ht="15.75" customHeight="1">
      <c r="G488" s="11"/>
      <c r="K488" s="36"/>
      <c r="L488" s="36"/>
      <c r="M488" s="36"/>
    </row>
    <row r="489" spans="7:13" ht="15.75" customHeight="1">
      <c r="G489" s="11"/>
      <c r="K489" s="36"/>
      <c r="L489" s="36"/>
      <c r="M489" s="36"/>
    </row>
    <row r="490" spans="7:13" ht="15.75" customHeight="1">
      <c r="G490" s="11"/>
      <c r="K490" s="36"/>
      <c r="L490" s="36"/>
      <c r="M490" s="36"/>
    </row>
    <row r="491" spans="7:13" ht="15.75" customHeight="1">
      <c r="G491" s="11"/>
      <c r="K491" s="36"/>
      <c r="L491" s="36"/>
      <c r="M491" s="36"/>
    </row>
    <row r="492" spans="7:13" ht="15.75" customHeight="1">
      <c r="G492" s="11"/>
      <c r="K492" s="36"/>
      <c r="L492" s="36"/>
      <c r="M492" s="36"/>
    </row>
    <row r="493" spans="7:13" ht="15.75" customHeight="1">
      <c r="G493" s="11"/>
      <c r="K493" s="36"/>
      <c r="L493" s="36"/>
      <c r="M493" s="36"/>
    </row>
    <row r="494" spans="7:13" ht="15.75" customHeight="1">
      <c r="G494" s="11"/>
      <c r="K494" s="36"/>
      <c r="L494" s="36"/>
      <c r="M494" s="36"/>
    </row>
    <row r="495" spans="7:13" ht="15.75" customHeight="1">
      <c r="G495" s="11"/>
      <c r="K495" s="36"/>
      <c r="L495" s="36"/>
      <c r="M495" s="36"/>
    </row>
    <row r="496" spans="7:13" ht="15.75" customHeight="1">
      <c r="G496" s="11"/>
      <c r="K496" s="36"/>
      <c r="L496" s="36"/>
      <c r="M496" s="36"/>
    </row>
    <row r="497" spans="7:13" ht="15.75" customHeight="1">
      <c r="G497" s="11"/>
      <c r="K497" s="36"/>
      <c r="L497" s="36"/>
      <c r="M497" s="36"/>
    </row>
    <row r="498" spans="7:13" ht="15.75" customHeight="1">
      <c r="G498" s="11"/>
      <c r="K498" s="36"/>
      <c r="L498" s="36"/>
      <c r="M498" s="36"/>
    </row>
    <row r="499" spans="7:13" ht="15.75" customHeight="1">
      <c r="G499" s="11"/>
      <c r="K499" s="36"/>
      <c r="L499" s="36"/>
      <c r="M499" s="36"/>
    </row>
    <row r="500" spans="7:13" ht="15.75" customHeight="1">
      <c r="G500" s="11"/>
      <c r="K500" s="36"/>
      <c r="L500" s="36"/>
      <c r="M500" s="36"/>
    </row>
    <row r="501" spans="7:13" ht="15.75" customHeight="1">
      <c r="G501" s="11"/>
      <c r="K501" s="36"/>
      <c r="L501" s="36"/>
      <c r="M501" s="36"/>
    </row>
    <row r="502" spans="7:13" ht="15.75" customHeight="1">
      <c r="G502" s="11"/>
      <c r="K502" s="36"/>
      <c r="L502" s="36"/>
      <c r="M502" s="36"/>
    </row>
    <row r="503" spans="7:13" ht="15.75" customHeight="1">
      <c r="G503" s="11"/>
      <c r="K503" s="36"/>
      <c r="L503" s="36"/>
      <c r="M503" s="36"/>
    </row>
    <row r="504" spans="7:13" ht="15.75" customHeight="1">
      <c r="G504" s="11"/>
      <c r="K504" s="36"/>
      <c r="L504" s="36"/>
      <c r="M504" s="36"/>
    </row>
    <row r="505" spans="7:13" ht="15.75" customHeight="1">
      <c r="G505" s="11"/>
      <c r="K505" s="36"/>
      <c r="L505" s="36"/>
      <c r="M505" s="36"/>
    </row>
    <row r="506" spans="7:13" ht="15.75" customHeight="1">
      <c r="G506" s="11"/>
      <c r="K506" s="36"/>
      <c r="L506" s="36"/>
      <c r="M506" s="36"/>
    </row>
    <row r="507" spans="7:13" ht="15.75" customHeight="1">
      <c r="G507" s="11"/>
      <c r="K507" s="36"/>
      <c r="L507" s="36"/>
      <c r="M507" s="36"/>
    </row>
    <row r="508" spans="7:13" ht="15.75" customHeight="1">
      <c r="G508" s="11"/>
      <c r="K508" s="36"/>
      <c r="L508" s="36"/>
      <c r="M508" s="36"/>
    </row>
    <row r="509" spans="7:13" ht="15.75" customHeight="1">
      <c r="G509" s="11"/>
      <c r="K509" s="36"/>
      <c r="L509" s="36"/>
      <c r="M509" s="36"/>
    </row>
    <row r="510" spans="7:13" ht="15.75" customHeight="1">
      <c r="G510" s="11"/>
      <c r="K510" s="36"/>
      <c r="L510" s="36"/>
      <c r="M510" s="36"/>
    </row>
    <row r="511" spans="7:13" ht="15.75" customHeight="1">
      <c r="G511" s="11"/>
      <c r="K511" s="36"/>
      <c r="L511" s="36"/>
      <c r="M511" s="36"/>
    </row>
    <row r="512" spans="7:13" ht="15.75" customHeight="1">
      <c r="G512" s="11"/>
      <c r="K512" s="36"/>
      <c r="L512" s="36"/>
      <c r="M512" s="36"/>
    </row>
    <row r="513" spans="7:13" ht="15.75" customHeight="1">
      <c r="G513" s="11"/>
      <c r="K513" s="36"/>
      <c r="L513" s="36"/>
      <c r="M513" s="36"/>
    </row>
    <row r="514" spans="7:13" ht="15.75" customHeight="1">
      <c r="G514" s="11"/>
      <c r="K514" s="36"/>
      <c r="L514" s="36"/>
      <c r="M514" s="36"/>
    </row>
    <row r="515" spans="7:13" ht="15.75" customHeight="1">
      <c r="G515" s="11"/>
      <c r="K515" s="36"/>
      <c r="L515" s="36"/>
      <c r="M515" s="36"/>
    </row>
    <row r="516" spans="7:13" ht="15.75" customHeight="1">
      <c r="G516" s="11"/>
      <c r="K516" s="36"/>
      <c r="L516" s="36"/>
      <c r="M516" s="36"/>
    </row>
    <row r="517" spans="7:13" ht="15.75" customHeight="1">
      <c r="G517" s="11"/>
      <c r="K517" s="36"/>
      <c r="L517" s="36"/>
      <c r="M517" s="36"/>
    </row>
    <row r="518" spans="7:13" ht="15.75" customHeight="1">
      <c r="G518" s="11"/>
      <c r="K518" s="36"/>
      <c r="L518" s="36"/>
      <c r="M518" s="36"/>
    </row>
    <row r="519" spans="7:13" ht="15.75" customHeight="1">
      <c r="G519" s="11"/>
      <c r="K519" s="36"/>
      <c r="L519" s="36"/>
      <c r="M519" s="36"/>
    </row>
    <row r="520" spans="7:13" ht="15.75" customHeight="1">
      <c r="G520" s="11"/>
      <c r="K520" s="36"/>
      <c r="L520" s="36"/>
      <c r="M520" s="36"/>
    </row>
    <row r="521" spans="7:13" ht="15.75" customHeight="1">
      <c r="G521" s="11"/>
      <c r="K521" s="36"/>
      <c r="L521" s="36"/>
      <c r="M521" s="36"/>
    </row>
    <row r="522" spans="7:13" ht="15.75" customHeight="1">
      <c r="G522" s="11"/>
      <c r="K522" s="36"/>
      <c r="L522" s="36"/>
      <c r="M522" s="36"/>
    </row>
    <row r="523" spans="7:13" ht="15.75" customHeight="1">
      <c r="G523" s="11"/>
      <c r="K523" s="36"/>
      <c r="L523" s="36"/>
      <c r="M523" s="36"/>
    </row>
    <row r="524" spans="7:13" ht="15.75" customHeight="1">
      <c r="G524" s="11"/>
      <c r="K524" s="36"/>
      <c r="L524" s="36"/>
      <c r="M524" s="36"/>
    </row>
    <row r="525" spans="7:13" ht="15.75" customHeight="1">
      <c r="G525" s="11"/>
      <c r="K525" s="36"/>
      <c r="L525" s="36"/>
      <c r="M525" s="36"/>
    </row>
    <row r="526" spans="7:13" ht="15.75" customHeight="1">
      <c r="G526" s="11"/>
      <c r="K526" s="36"/>
      <c r="L526" s="36"/>
      <c r="M526" s="36"/>
    </row>
    <row r="527" spans="7:13" ht="15.75" customHeight="1">
      <c r="G527" s="11"/>
      <c r="K527" s="36"/>
      <c r="L527" s="36"/>
      <c r="M527" s="36"/>
    </row>
    <row r="528" spans="7:13" ht="15.75" customHeight="1">
      <c r="G528" s="11"/>
      <c r="K528" s="36"/>
      <c r="L528" s="36"/>
      <c r="M528" s="36"/>
    </row>
    <row r="529" spans="7:13" ht="15.75" customHeight="1">
      <c r="G529" s="11"/>
      <c r="K529" s="36"/>
      <c r="L529" s="36"/>
      <c r="M529" s="36"/>
    </row>
    <row r="530" spans="7:13" ht="15.75" customHeight="1">
      <c r="G530" s="11"/>
      <c r="K530" s="36"/>
      <c r="L530" s="36"/>
      <c r="M530" s="36"/>
    </row>
    <row r="531" spans="7:13" ht="15.75" customHeight="1">
      <c r="G531" s="11"/>
      <c r="K531" s="36"/>
      <c r="L531" s="36"/>
      <c r="M531" s="36"/>
    </row>
    <row r="532" spans="7:13" ht="15.75" customHeight="1">
      <c r="G532" s="11"/>
      <c r="K532" s="36"/>
      <c r="L532" s="36"/>
      <c r="M532" s="36"/>
    </row>
    <row r="533" spans="7:13" ht="15.75" customHeight="1">
      <c r="G533" s="11"/>
      <c r="K533" s="36"/>
      <c r="L533" s="36"/>
      <c r="M533" s="36"/>
    </row>
    <row r="534" spans="7:13" ht="15.75" customHeight="1">
      <c r="G534" s="11"/>
      <c r="K534" s="36"/>
      <c r="L534" s="36"/>
      <c r="M534" s="36"/>
    </row>
    <row r="535" spans="7:13" ht="15.75" customHeight="1">
      <c r="G535" s="11"/>
      <c r="K535" s="36"/>
      <c r="L535" s="36"/>
      <c r="M535" s="36"/>
    </row>
    <row r="536" spans="7:13" ht="15.75" customHeight="1">
      <c r="G536" s="11"/>
      <c r="K536" s="36"/>
      <c r="L536" s="36"/>
      <c r="M536" s="36"/>
    </row>
    <row r="537" spans="7:13" ht="15.75" customHeight="1">
      <c r="G537" s="11"/>
      <c r="K537" s="36"/>
      <c r="L537" s="36"/>
      <c r="M537" s="36"/>
    </row>
    <row r="538" spans="7:13" ht="15.75" customHeight="1">
      <c r="G538" s="11"/>
      <c r="K538" s="36"/>
      <c r="L538" s="36"/>
      <c r="M538" s="36"/>
    </row>
    <row r="539" spans="7:13" ht="15.75" customHeight="1">
      <c r="G539" s="11"/>
      <c r="K539" s="36"/>
      <c r="L539" s="36"/>
      <c r="M539" s="36"/>
    </row>
    <row r="540" spans="7:13" ht="15.75" customHeight="1">
      <c r="G540" s="11"/>
      <c r="K540" s="36"/>
      <c r="L540" s="36"/>
      <c r="M540" s="36"/>
    </row>
    <row r="541" spans="7:13" ht="15.75" customHeight="1">
      <c r="G541" s="11"/>
      <c r="K541" s="36"/>
      <c r="L541" s="36"/>
      <c r="M541" s="36"/>
    </row>
    <row r="542" spans="7:13" ht="15.75" customHeight="1">
      <c r="G542" s="11"/>
      <c r="K542" s="36"/>
      <c r="L542" s="36"/>
      <c r="M542" s="36"/>
    </row>
    <row r="543" spans="7:13" ht="15.75" customHeight="1">
      <c r="G543" s="11"/>
      <c r="K543" s="36"/>
      <c r="L543" s="36"/>
      <c r="M543" s="36"/>
    </row>
    <row r="544" spans="7:13" ht="15.75" customHeight="1">
      <c r="G544" s="11"/>
      <c r="K544" s="36"/>
      <c r="L544" s="36"/>
      <c r="M544" s="36"/>
    </row>
    <row r="545" spans="7:13" ht="15.75" customHeight="1">
      <c r="G545" s="11"/>
      <c r="K545" s="36"/>
      <c r="L545" s="36"/>
      <c r="M545" s="36"/>
    </row>
    <row r="546" spans="7:13" ht="15.75" customHeight="1">
      <c r="G546" s="11"/>
      <c r="K546" s="36"/>
      <c r="L546" s="36"/>
      <c r="M546" s="36"/>
    </row>
    <row r="547" spans="7:13" ht="15.75" customHeight="1">
      <c r="G547" s="11"/>
      <c r="K547" s="36"/>
      <c r="L547" s="36"/>
      <c r="M547" s="36"/>
    </row>
    <row r="548" spans="7:13" ht="15.75" customHeight="1">
      <c r="G548" s="11"/>
      <c r="K548" s="36"/>
      <c r="L548" s="36"/>
      <c r="M548" s="36"/>
    </row>
    <row r="549" spans="7:13" ht="15.75" customHeight="1">
      <c r="G549" s="11"/>
      <c r="K549" s="36"/>
      <c r="L549" s="36"/>
      <c r="M549" s="36"/>
    </row>
    <row r="550" spans="7:13" ht="15.75" customHeight="1">
      <c r="G550" s="11"/>
      <c r="K550" s="36"/>
      <c r="L550" s="36"/>
      <c r="M550" s="36"/>
    </row>
    <row r="551" spans="7:13" ht="15.75" customHeight="1">
      <c r="G551" s="11"/>
      <c r="K551" s="36"/>
      <c r="L551" s="36"/>
      <c r="M551" s="36"/>
    </row>
    <row r="552" spans="7:13" ht="15.75" customHeight="1">
      <c r="G552" s="11"/>
      <c r="K552" s="36"/>
      <c r="L552" s="36"/>
      <c r="M552" s="36"/>
    </row>
    <row r="553" spans="7:13" ht="15.75" customHeight="1">
      <c r="G553" s="11"/>
      <c r="K553" s="36"/>
      <c r="L553" s="36"/>
      <c r="M553" s="36"/>
    </row>
    <row r="554" spans="7:13" ht="15.75" customHeight="1">
      <c r="G554" s="11"/>
      <c r="K554" s="36"/>
      <c r="L554" s="36"/>
      <c r="M554" s="36"/>
    </row>
    <row r="555" spans="7:13" ht="15.75" customHeight="1">
      <c r="G555" s="11"/>
      <c r="K555" s="36"/>
      <c r="L555" s="36"/>
      <c r="M555" s="36"/>
    </row>
    <row r="556" spans="7:13" ht="15.75" customHeight="1">
      <c r="G556" s="11"/>
      <c r="K556" s="36"/>
      <c r="L556" s="36"/>
      <c r="M556" s="36"/>
    </row>
    <row r="557" spans="7:13" ht="15.75" customHeight="1">
      <c r="G557" s="11"/>
      <c r="K557" s="36"/>
      <c r="L557" s="36"/>
      <c r="M557" s="36"/>
    </row>
    <row r="558" spans="7:13" ht="15.75" customHeight="1">
      <c r="G558" s="11"/>
      <c r="K558" s="36"/>
      <c r="L558" s="36"/>
      <c r="M558" s="36"/>
    </row>
    <row r="559" spans="7:13" ht="15.75" customHeight="1">
      <c r="G559" s="11"/>
      <c r="K559" s="36"/>
      <c r="L559" s="36"/>
      <c r="M559" s="36"/>
    </row>
    <row r="560" spans="7:13" ht="15.75" customHeight="1">
      <c r="G560" s="11"/>
      <c r="K560" s="36"/>
      <c r="L560" s="36"/>
      <c r="M560" s="36"/>
    </row>
    <row r="561" spans="7:13" ht="15.75" customHeight="1">
      <c r="G561" s="11"/>
      <c r="K561" s="36"/>
      <c r="L561" s="36"/>
      <c r="M561" s="36"/>
    </row>
    <row r="562" spans="7:13" ht="15.75" customHeight="1">
      <c r="G562" s="11"/>
      <c r="K562" s="36"/>
      <c r="L562" s="36"/>
      <c r="M562" s="36"/>
    </row>
    <row r="563" spans="7:13" ht="15.75" customHeight="1">
      <c r="G563" s="11"/>
      <c r="K563" s="36"/>
      <c r="L563" s="36"/>
      <c r="M563" s="36"/>
    </row>
    <row r="564" spans="7:13" ht="15.75" customHeight="1">
      <c r="G564" s="11"/>
      <c r="K564" s="36"/>
      <c r="L564" s="36"/>
      <c r="M564" s="36"/>
    </row>
    <row r="565" spans="7:13" ht="15.75" customHeight="1">
      <c r="G565" s="11"/>
      <c r="K565" s="36"/>
      <c r="L565" s="36"/>
      <c r="M565" s="36"/>
    </row>
    <row r="566" spans="7:13" ht="15.75" customHeight="1">
      <c r="G566" s="11"/>
      <c r="K566" s="36"/>
      <c r="L566" s="36"/>
      <c r="M566" s="36"/>
    </row>
    <row r="567" spans="7:13" ht="15.75" customHeight="1">
      <c r="G567" s="11"/>
      <c r="K567" s="36"/>
      <c r="L567" s="36"/>
      <c r="M567" s="36"/>
    </row>
    <row r="568" spans="7:13" ht="15.75" customHeight="1">
      <c r="G568" s="11"/>
      <c r="K568" s="36"/>
      <c r="L568" s="36"/>
      <c r="M568" s="36"/>
    </row>
    <row r="569" spans="7:13" ht="15.75" customHeight="1">
      <c r="G569" s="11"/>
      <c r="K569" s="36"/>
      <c r="L569" s="36"/>
      <c r="M569" s="36"/>
    </row>
    <row r="570" spans="7:13" ht="15.75" customHeight="1">
      <c r="G570" s="11"/>
      <c r="K570" s="36"/>
      <c r="L570" s="36"/>
      <c r="M570" s="36"/>
    </row>
    <row r="571" spans="7:13" ht="15.75" customHeight="1">
      <c r="G571" s="11"/>
      <c r="K571" s="36"/>
      <c r="L571" s="36"/>
      <c r="M571" s="36"/>
    </row>
    <row r="572" spans="7:13" ht="15.75" customHeight="1">
      <c r="G572" s="11"/>
      <c r="K572" s="36"/>
      <c r="L572" s="36"/>
      <c r="M572" s="36"/>
    </row>
    <row r="573" spans="7:13" ht="15.75" customHeight="1">
      <c r="G573" s="11"/>
      <c r="K573" s="36"/>
      <c r="L573" s="36"/>
      <c r="M573" s="36"/>
    </row>
    <row r="574" spans="7:13" ht="15.75" customHeight="1">
      <c r="G574" s="11"/>
      <c r="K574" s="36"/>
      <c r="L574" s="36"/>
      <c r="M574" s="36"/>
    </row>
    <row r="575" spans="7:13" ht="15.75" customHeight="1">
      <c r="G575" s="11"/>
      <c r="K575" s="36"/>
      <c r="L575" s="36"/>
      <c r="M575" s="36"/>
    </row>
    <row r="576" spans="7:13" ht="15.75" customHeight="1">
      <c r="G576" s="11"/>
      <c r="K576" s="36"/>
      <c r="L576" s="36"/>
      <c r="M576" s="36"/>
    </row>
    <row r="577" spans="7:13" ht="15.75" customHeight="1">
      <c r="G577" s="11"/>
      <c r="K577" s="36"/>
      <c r="L577" s="36"/>
      <c r="M577" s="36"/>
    </row>
    <row r="578" spans="7:13" ht="15.75" customHeight="1">
      <c r="G578" s="11"/>
      <c r="K578" s="36"/>
      <c r="L578" s="36"/>
      <c r="M578" s="36"/>
    </row>
    <row r="579" spans="7:13" ht="15.75" customHeight="1">
      <c r="G579" s="11"/>
      <c r="K579" s="36"/>
      <c r="L579" s="36"/>
      <c r="M579" s="36"/>
    </row>
    <row r="580" spans="7:13" ht="15.75" customHeight="1">
      <c r="G580" s="11"/>
      <c r="K580" s="36"/>
      <c r="L580" s="36"/>
      <c r="M580" s="36"/>
    </row>
    <row r="581" spans="7:13" ht="15.75" customHeight="1">
      <c r="G581" s="11"/>
      <c r="K581" s="36"/>
      <c r="L581" s="36"/>
      <c r="M581" s="36"/>
    </row>
    <row r="582" spans="7:13" ht="15.75" customHeight="1">
      <c r="G582" s="11"/>
      <c r="K582" s="36"/>
      <c r="L582" s="36"/>
      <c r="M582" s="36"/>
    </row>
    <row r="583" spans="7:13" ht="15.75" customHeight="1">
      <c r="G583" s="11"/>
      <c r="K583" s="36"/>
      <c r="L583" s="36"/>
      <c r="M583" s="36"/>
    </row>
    <row r="584" spans="7:13" ht="15.75" customHeight="1">
      <c r="G584" s="11"/>
      <c r="K584" s="36"/>
      <c r="L584" s="36"/>
      <c r="M584" s="36"/>
    </row>
    <row r="585" spans="7:13" ht="15.75" customHeight="1">
      <c r="G585" s="11"/>
      <c r="K585" s="36"/>
      <c r="L585" s="36"/>
      <c r="M585" s="36"/>
    </row>
    <row r="586" spans="7:13" ht="15.75" customHeight="1">
      <c r="G586" s="11"/>
      <c r="K586" s="36"/>
      <c r="L586" s="36"/>
      <c r="M586" s="36"/>
    </row>
    <row r="587" spans="7:13" ht="15.75" customHeight="1">
      <c r="G587" s="11"/>
      <c r="K587" s="36"/>
      <c r="L587" s="36"/>
      <c r="M587" s="36"/>
    </row>
    <row r="588" spans="7:13" ht="15.75" customHeight="1">
      <c r="G588" s="11"/>
      <c r="K588" s="36"/>
      <c r="L588" s="36"/>
      <c r="M588" s="36"/>
    </row>
    <row r="589" spans="7:13" ht="15.75" customHeight="1">
      <c r="G589" s="11"/>
      <c r="K589" s="36"/>
      <c r="L589" s="36"/>
      <c r="M589" s="36"/>
    </row>
    <row r="590" spans="7:13" ht="15.75" customHeight="1">
      <c r="G590" s="11"/>
      <c r="K590" s="36"/>
      <c r="L590" s="36"/>
      <c r="M590" s="36"/>
    </row>
    <row r="591" spans="7:13" ht="15.75" customHeight="1">
      <c r="G591" s="11"/>
      <c r="K591" s="36"/>
      <c r="L591" s="36"/>
      <c r="M591" s="36"/>
    </row>
    <row r="592" spans="7:13" ht="15.75" customHeight="1">
      <c r="G592" s="11"/>
      <c r="K592" s="36"/>
      <c r="L592" s="36"/>
      <c r="M592" s="36"/>
    </row>
    <row r="593" spans="7:13" ht="15.75" customHeight="1">
      <c r="G593" s="11"/>
      <c r="K593" s="36"/>
      <c r="L593" s="36"/>
      <c r="M593" s="36"/>
    </row>
    <row r="594" spans="7:13" ht="15.75" customHeight="1">
      <c r="G594" s="11"/>
      <c r="K594" s="36"/>
      <c r="L594" s="36"/>
      <c r="M594" s="36"/>
    </row>
    <row r="595" spans="7:13" ht="15.75" customHeight="1">
      <c r="G595" s="11"/>
      <c r="K595" s="36"/>
      <c r="L595" s="36"/>
      <c r="M595" s="36"/>
    </row>
    <row r="596" spans="7:13" ht="15.75" customHeight="1">
      <c r="G596" s="11"/>
      <c r="K596" s="36"/>
      <c r="L596" s="36"/>
      <c r="M596" s="36"/>
    </row>
    <row r="597" spans="7:13" ht="15.75" customHeight="1">
      <c r="G597" s="11"/>
      <c r="K597" s="36"/>
      <c r="L597" s="36"/>
      <c r="M597" s="36"/>
    </row>
    <row r="598" spans="7:13" ht="15.75" customHeight="1">
      <c r="G598" s="11"/>
      <c r="K598" s="36"/>
      <c r="L598" s="36"/>
      <c r="M598" s="36"/>
    </row>
    <row r="599" spans="7:13" ht="15.75" customHeight="1">
      <c r="G599" s="11"/>
      <c r="K599" s="36"/>
      <c r="L599" s="36"/>
      <c r="M599" s="36"/>
    </row>
    <row r="600" spans="7:13" ht="15.75" customHeight="1">
      <c r="G600" s="11"/>
      <c r="K600" s="36"/>
      <c r="L600" s="36"/>
      <c r="M600" s="36"/>
    </row>
    <row r="601" spans="7:13" ht="15.75" customHeight="1">
      <c r="G601" s="11"/>
      <c r="K601" s="36"/>
      <c r="L601" s="36"/>
      <c r="M601" s="36"/>
    </row>
    <row r="602" spans="7:13" ht="15.75" customHeight="1">
      <c r="G602" s="11"/>
      <c r="K602" s="36"/>
      <c r="L602" s="36"/>
      <c r="M602" s="36"/>
    </row>
    <row r="603" spans="7:13" ht="15.75" customHeight="1">
      <c r="G603" s="11"/>
      <c r="K603" s="36"/>
      <c r="L603" s="36"/>
      <c r="M603" s="36"/>
    </row>
    <row r="604" spans="7:13" ht="15.75" customHeight="1">
      <c r="G604" s="11"/>
      <c r="K604" s="36"/>
      <c r="L604" s="36"/>
      <c r="M604" s="36"/>
    </row>
    <row r="605" spans="7:13" ht="15.75" customHeight="1">
      <c r="G605" s="11"/>
      <c r="K605" s="36"/>
      <c r="L605" s="36"/>
      <c r="M605" s="36"/>
    </row>
    <row r="606" spans="7:13" ht="15.75" customHeight="1">
      <c r="G606" s="11"/>
      <c r="K606" s="36"/>
      <c r="L606" s="36"/>
      <c r="M606" s="36"/>
    </row>
    <row r="607" spans="7:13" ht="15.75" customHeight="1">
      <c r="G607" s="11"/>
      <c r="K607" s="36"/>
      <c r="L607" s="36"/>
      <c r="M607" s="36"/>
    </row>
    <row r="608" spans="7:13" ht="15.75" customHeight="1">
      <c r="G608" s="11"/>
      <c r="K608" s="36"/>
      <c r="L608" s="36"/>
      <c r="M608" s="36"/>
    </row>
    <row r="609" spans="7:13" ht="15.75" customHeight="1">
      <c r="G609" s="11"/>
      <c r="K609" s="36"/>
      <c r="L609" s="36"/>
      <c r="M609" s="36"/>
    </row>
    <row r="610" spans="7:13" ht="15.75" customHeight="1">
      <c r="G610" s="11"/>
      <c r="K610" s="36"/>
      <c r="L610" s="36"/>
      <c r="M610" s="36"/>
    </row>
    <row r="611" spans="7:13" ht="15.75" customHeight="1">
      <c r="G611" s="11"/>
      <c r="K611" s="36"/>
      <c r="L611" s="36"/>
      <c r="M611" s="36"/>
    </row>
    <row r="612" spans="7:13" ht="15.75" customHeight="1">
      <c r="G612" s="11"/>
      <c r="K612" s="36"/>
      <c r="L612" s="36"/>
      <c r="M612" s="36"/>
    </row>
    <row r="613" spans="7:13" ht="15.75" customHeight="1">
      <c r="G613" s="11"/>
      <c r="K613" s="36"/>
      <c r="L613" s="36"/>
      <c r="M613" s="36"/>
    </row>
    <row r="614" spans="7:13" ht="15.75" customHeight="1">
      <c r="G614" s="11"/>
      <c r="K614" s="36"/>
      <c r="L614" s="36"/>
      <c r="M614" s="36"/>
    </row>
    <row r="615" spans="7:13" ht="15.75" customHeight="1">
      <c r="G615" s="11"/>
      <c r="K615" s="36"/>
      <c r="L615" s="36"/>
      <c r="M615" s="36"/>
    </row>
    <row r="616" spans="7:13" ht="15.75" customHeight="1">
      <c r="G616" s="11"/>
      <c r="K616" s="36"/>
      <c r="L616" s="36"/>
      <c r="M616" s="36"/>
    </row>
    <row r="617" spans="7:13" ht="15.75" customHeight="1">
      <c r="G617" s="11"/>
      <c r="K617" s="36"/>
      <c r="L617" s="36"/>
      <c r="M617" s="36"/>
    </row>
    <row r="618" spans="7:13" ht="15.75" customHeight="1">
      <c r="G618" s="11"/>
      <c r="K618" s="36"/>
      <c r="L618" s="36"/>
      <c r="M618" s="36"/>
    </row>
    <row r="619" spans="7:13" ht="15.75" customHeight="1">
      <c r="G619" s="11"/>
      <c r="K619" s="36"/>
      <c r="L619" s="36"/>
      <c r="M619" s="36"/>
    </row>
    <row r="620" spans="7:13" ht="15.75" customHeight="1">
      <c r="G620" s="11"/>
      <c r="K620" s="36"/>
      <c r="L620" s="36"/>
      <c r="M620" s="36"/>
    </row>
    <row r="621" spans="7:13" ht="15.75" customHeight="1">
      <c r="G621" s="11"/>
      <c r="K621" s="36"/>
      <c r="L621" s="36"/>
      <c r="M621" s="36"/>
    </row>
    <row r="622" spans="7:13" ht="15.75" customHeight="1">
      <c r="G622" s="11"/>
      <c r="K622" s="36"/>
      <c r="L622" s="36"/>
      <c r="M622" s="36"/>
    </row>
    <row r="623" spans="7:13" ht="15.75" customHeight="1">
      <c r="G623" s="11"/>
      <c r="K623" s="36"/>
      <c r="L623" s="36"/>
      <c r="M623" s="36"/>
    </row>
    <row r="624" spans="7:13" ht="15.75" customHeight="1">
      <c r="G624" s="11"/>
      <c r="K624" s="36"/>
      <c r="L624" s="36"/>
      <c r="M624" s="36"/>
    </row>
    <row r="625" spans="7:13" ht="15.75" customHeight="1">
      <c r="G625" s="11"/>
      <c r="K625" s="36"/>
      <c r="L625" s="36"/>
      <c r="M625" s="36"/>
    </row>
    <row r="626" spans="7:13" ht="15.75" customHeight="1">
      <c r="G626" s="11"/>
      <c r="K626" s="36"/>
      <c r="L626" s="36"/>
      <c r="M626" s="36"/>
    </row>
    <row r="627" spans="7:13" ht="15.75" customHeight="1">
      <c r="G627" s="11"/>
      <c r="K627" s="36"/>
      <c r="L627" s="36"/>
      <c r="M627" s="36"/>
    </row>
    <row r="628" spans="7:13" ht="15.75" customHeight="1">
      <c r="G628" s="11"/>
      <c r="K628" s="36"/>
      <c r="L628" s="36"/>
      <c r="M628" s="36"/>
    </row>
    <row r="629" spans="7:13" ht="15.75" customHeight="1">
      <c r="G629" s="11"/>
      <c r="K629" s="36"/>
      <c r="L629" s="36"/>
      <c r="M629" s="36"/>
    </row>
    <row r="630" spans="7:13" ht="15.75" customHeight="1">
      <c r="G630" s="11"/>
      <c r="K630" s="36"/>
      <c r="L630" s="36"/>
      <c r="M630" s="36"/>
    </row>
    <row r="631" spans="7:13" ht="15.75" customHeight="1">
      <c r="G631" s="11"/>
      <c r="K631" s="36"/>
      <c r="L631" s="36"/>
      <c r="M631" s="36"/>
    </row>
    <row r="632" spans="7:13" ht="15.75" customHeight="1">
      <c r="G632" s="11"/>
      <c r="K632" s="36"/>
      <c r="L632" s="36"/>
      <c r="M632" s="36"/>
    </row>
    <row r="633" spans="7:13" ht="15.75" customHeight="1">
      <c r="G633" s="11"/>
      <c r="K633" s="36"/>
      <c r="L633" s="36"/>
      <c r="M633" s="36"/>
    </row>
    <row r="634" spans="7:13" ht="15.75" customHeight="1">
      <c r="G634" s="11"/>
      <c r="K634" s="36"/>
      <c r="L634" s="36"/>
      <c r="M634" s="36"/>
    </row>
    <row r="635" spans="7:13" ht="15.75" customHeight="1">
      <c r="G635" s="11"/>
      <c r="K635" s="36"/>
      <c r="L635" s="36"/>
      <c r="M635" s="36"/>
    </row>
    <row r="636" spans="7:13" ht="15.75" customHeight="1">
      <c r="G636" s="11"/>
      <c r="K636" s="36"/>
      <c r="L636" s="36"/>
      <c r="M636" s="36"/>
    </row>
    <row r="637" spans="7:13" ht="15.75" customHeight="1">
      <c r="G637" s="11"/>
      <c r="K637" s="36"/>
      <c r="L637" s="36"/>
      <c r="M637" s="36"/>
    </row>
    <row r="638" spans="7:13" ht="15.75" customHeight="1">
      <c r="G638" s="11"/>
      <c r="K638" s="36"/>
      <c r="L638" s="36"/>
      <c r="M638" s="36"/>
    </row>
    <row r="639" spans="7:13" ht="15.75" customHeight="1">
      <c r="G639" s="11"/>
      <c r="K639" s="36"/>
      <c r="L639" s="36"/>
      <c r="M639" s="36"/>
    </row>
    <row r="640" spans="7:13" ht="15.75" customHeight="1">
      <c r="G640" s="11"/>
      <c r="K640" s="36"/>
      <c r="L640" s="36"/>
      <c r="M640" s="36"/>
    </row>
    <row r="641" spans="7:13" ht="15.75" customHeight="1">
      <c r="G641" s="11"/>
      <c r="K641" s="36"/>
      <c r="L641" s="36"/>
      <c r="M641" s="36"/>
    </row>
    <row r="642" spans="7:13" ht="15.75" customHeight="1">
      <c r="G642" s="11"/>
      <c r="K642" s="36"/>
      <c r="L642" s="36"/>
      <c r="M642" s="36"/>
    </row>
    <row r="643" spans="7:13" ht="15.75" customHeight="1">
      <c r="G643" s="11"/>
      <c r="K643" s="36"/>
      <c r="L643" s="36"/>
      <c r="M643" s="36"/>
    </row>
    <row r="644" spans="7:13" ht="15.75" customHeight="1">
      <c r="G644" s="11"/>
      <c r="K644" s="36"/>
      <c r="L644" s="36"/>
      <c r="M644" s="36"/>
    </row>
    <row r="645" spans="7:13" ht="15.75" customHeight="1">
      <c r="G645" s="11"/>
      <c r="K645" s="36"/>
      <c r="L645" s="36"/>
      <c r="M645" s="36"/>
    </row>
    <row r="646" spans="7:13" ht="15.75" customHeight="1">
      <c r="G646" s="11"/>
      <c r="K646" s="36"/>
      <c r="L646" s="36"/>
      <c r="M646" s="36"/>
    </row>
    <row r="647" spans="7:13" ht="15.75" customHeight="1">
      <c r="G647" s="11"/>
      <c r="K647" s="36"/>
      <c r="L647" s="36"/>
      <c r="M647" s="36"/>
    </row>
    <row r="648" spans="7:13" ht="15.75" customHeight="1">
      <c r="G648" s="11"/>
      <c r="K648" s="36"/>
      <c r="L648" s="36"/>
      <c r="M648" s="36"/>
    </row>
    <row r="649" spans="7:13" ht="15.75" customHeight="1">
      <c r="G649" s="11"/>
      <c r="K649" s="36"/>
      <c r="L649" s="36"/>
      <c r="M649" s="36"/>
    </row>
    <row r="650" spans="7:13" ht="15.75" customHeight="1">
      <c r="G650" s="11"/>
      <c r="K650" s="36"/>
      <c r="L650" s="36"/>
      <c r="M650" s="36"/>
    </row>
    <row r="651" spans="7:13" ht="15.75" customHeight="1">
      <c r="G651" s="11"/>
      <c r="K651" s="36"/>
      <c r="L651" s="36"/>
      <c r="M651" s="36"/>
    </row>
    <row r="652" spans="7:13" ht="15.75" customHeight="1">
      <c r="G652" s="11"/>
      <c r="K652" s="36"/>
      <c r="L652" s="36"/>
      <c r="M652" s="36"/>
    </row>
    <row r="653" spans="7:13" ht="15.75" customHeight="1">
      <c r="G653" s="11"/>
      <c r="K653" s="36"/>
      <c r="L653" s="36"/>
      <c r="M653" s="36"/>
    </row>
    <row r="654" spans="7:13" ht="15.75" customHeight="1">
      <c r="G654" s="11"/>
      <c r="K654" s="36"/>
      <c r="L654" s="36"/>
      <c r="M654" s="36"/>
    </row>
    <row r="655" spans="7:13" ht="15.75" customHeight="1">
      <c r="G655" s="11"/>
      <c r="K655" s="36"/>
      <c r="L655" s="36"/>
      <c r="M655" s="36"/>
    </row>
    <row r="656" spans="7:13" ht="15.75" customHeight="1">
      <c r="G656" s="11"/>
      <c r="K656" s="36"/>
      <c r="L656" s="36"/>
      <c r="M656" s="36"/>
    </row>
    <row r="657" spans="7:13" ht="15.75" customHeight="1">
      <c r="G657" s="11"/>
      <c r="K657" s="36"/>
      <c r="L657" s="36"/>
      <c r="M657" s="36"/>
    </row>
    <row r="658" spans="7:13" ht="15.75" customHeight="1">
      <c r="G658" s="11"/>
      <c r="K658" s="36"/>
      <c r="L658" s="36"/>
      <c r="M658" s="36"/>
    </row>
    <row r="659" spans="7:13" ht="15.75" customHeight="1">
      <c r="G659" s="11"/>
      <c r="K659" s="36"/>
      <c r="L659" s="36"/>
      <c r="M659" s="36"/>
    </row>
    <row r="660" spans="7:13" ht="15.75" customHeight="1">
      <c r="G660" s="11"/>
      <c r="K660" s="36"/>
      <c r="L660" s="36"/>
      <c r="M660" s="36"/>
    </row>
    <row r="661" spans="7:13" ht="15.75" customHeight="1">
      <c r="G661" s="11"/>
      <c r="K661" s="36"/>
      <c r="L661" s="36"/>
      <c r="M661" s="36"/>
    </row>
    <row r="662" spans="7:13" ht="15.75" customHeight="1">
      <c r="G662" s="11"/>
      <c r="K662" s="36"/>
      <c r="L662" s="36"/>
      <c r="M662" s="36"/>
    </row>
    <row r="663" spans="7:13" ht="15.75" customHeight="1">
      <c r="G663" s="11"/>
      <c r="K663" s="36"/>
      <c r="L663" s="36"/>
      <c r="M663" s="36"/>
    </row>
    <row r="664" spans="7:13" ht="15.75" customHeight="1">
      <c r="G664" s="11"/>
      <c r="K664" s="36"/>
      <c r="L664" s="36"/>
      <c r="M664" s="36"/>
    </row>
    <row r="665" spans="7:13" ht="15.75" customHeight="1">
      <c r="G665" s="11"/>
      <c r="K665" s="36"/>
      <c r="L665" s="36"/>
      <c r="M665" s="36"/>
    </row>
    <row r="666" spans="7:13" ht="15.75" customHeight="1">
      <c r="G666" s="11"/>
      <c r="K666" s="36"/>
      <c r="L666" s="36"/>
      <c r="M666" s="36"/>
    </row>
    <row r="667" spans="7:13" ht="15.75" customHeight="1">
      <c r="G667" s="11"/>
      <c r="K667" s="36"/>
      <c r="L667" s="36"/>
      <c r="M667" s="36"/>
    </row>
    <row r="668" spans="7:13" ht="15.75" customHeight="1">
      <c r="G668" s="11"/>
      <c r="K668" s="36"/>
      <c r="L668" s="36"/>
      <c r="M668" s="36"/>
    </row>
    <row r="669" spans="7:13" ht="15.75" customHeight="1">
      <c r="G669" s="11"/>
      <c r="K669" s="36"/>
      <c r="L669" s="36"/>
      <c r="M669" s="36"/>
    </row>
    <row r="670" spans="7:13" ht="15.75" customHeight="1">
      <c r="G670" s="11"/>
      <c r="K670" s="36"/>
      <c r="L670" s="36"/>
      <c r="M670" s="36"/>
    </row>
    <row r="671" spans="7:13" ht="15.75" customHeight="1">
      <c r="G671" s="11"/>
      <c r="K671" s="36"/>
      <c r="L671" s="36"/>
      <c r="M671" s="36"/>
    </row>
    <row r="672" spans="7:13" ht="15.75" customHeight="1">
      <c r="G672" s="11"/>
      <c r="K672" s="36"/>
      <c r="L672" s="36"/>
      <c r="M672" s="36"/>
    </row>
    <row r="673" spans="7:13" ht="15.75" customHeight="1">
      <c r="G673" s="11"/>
      <c r="K673" s="36"/>
      <c r="L673" s="36"/>
      <c r="M673" s="36"/>
    </row>
    <row r="674" spans="7:13" ht="15.75" customHeight="1">
      <c r="G674" s="11"/>
      <c r="K674" s="36"/>
      <c r="L674" s="36"/>
      <c r="M674" s="36"/>
    </row>
    <row r="675" spans="7:13" ht="15.75" customHeight="1">
      <c r="G675" s="11"/>
      <c r="K675" s="36"/>
      <c r="L675" s="36"/>
      <c r="M675" s="36"/>
    </row>
    <row r="676" spans="7:13" ht="15.75" customHeight="1">
      <c r="G676" s="11"/>
      <c r="K676" s="36"/>
      <c r="L676" s="36"/>
      <c r="M676" s="36"/>
    </row>
    <row r="677" spans="7:13" ht="15.75" customHeight="1">
      <c r="G677" s="11"/>
      <c r="K677" s="36"/>
      <c r="L677" s="36"/>
      <c r="M677" s="36"/>
    </row>
    <row r="678" spans="7:13" ht="15.75" customHeight="1">
      <c r="G678" s="11"/>
      <c r="K678" s="36"/>
      <c r="L678" s="36"/>
      <c r="M678" s="36"/>
    </row>
    <row r="679" spans="7:13" ht="15.75" customHeight="1">
      <c r="G679" s="11"/>
      <c r="K679" s="36"/>
      <c r="L679" s="36"/>
      <c r="M679" s="36"/>
    </row>
    <row r="680" spans="7:13" ht="15.75" customHeight="1">
      <c r="G680" s="11"/>
      <c r="K680" s="36"/>
      <c r="L680" s="36"/>
      <c r="M680" s="36"/>
    </row>
    <row r="681" spans="7:13" ht="15.75" customHeight="1">
      <c r="G681" s="11"/>
      <c r="K681" s="36"/>
      <c r="L681" s="36"/>
      <c r="M681" s="36"/>
    </row>
    <row r="682" spans="7:13" ht="15.75" customHeight="1">
      <c r="G682" s="11"/>
      <c r="K682" s="36"/>
      <c r="L682" s="36"/>
      <c r="M682" s="36"/>
    </row>
    <row r="683" spans="7:13" ht="15.75" customHeight="1">
      <c r="G683" s="11"/>
      <c r="K683" s="36"/>
      <c r="L683" s="36"/>
      <c r="M683" s="36"/>
    </row>
    <row r="684" spans="7:13" ht="15.75" customHeight="1">
      <c r="G684" s="11"/>
      <c r="K684" s="36"/>
      <c r="L684" s="36"/>
      <c r="M684" s="36"/>
    </row>
    <row r="685" spans="7:13" ht="15.75" customHeight="1">
      <c r="G685" s="11"/>
      <c r="K685" s="36"/>
      <c r="L685" s="36"/>
      <c r="M685" s="36"/>
    </row>
    <row r="686" spans="7:13" ht="15.75" customHeight="1">
      <c r="G686" s="11"/>
      <c r="K686" s="36"/>
      <c r="L686" s="36"/>
      <c r="M686" s="36"/>
    </row>
    <row r="687" spans="7:13" ht="15.75" customHeight="1">
      <c r="G687" s="11"/>
      <c r="K687" s="36"/>
      <c r="L687" s="36"/>
      <c r="M687" s="36"/>
    </row>
    <row r="688" spans="7:13" ht="15.75" customHeight="1">
      <c r="G688" s="11"/>
      <c r="K688" s="36"/>
      <c r="L688" s="36"/>
      <c r="M688" s="36"/>
    </row>
    <row r="689" spans="7:13" ht="15.75" customHeight="1">
      <c r="G689" s="11"/>
      <c r="K689" s="36"/>
      <c r="L689" s="36"/>
      <c r="M689" s="36"/>
    </row>
    <row r="690" spans="7:13" ht="15.75" customHeight="1">
      <c r="G690" s="11"/>
      <c r="K690" s="36"/>
      <c r="L690" s="36"/>
      <c r="M690" s="36"/>
    </row>
    <row r="691" spans="7:13" ht="15.75" customHeight="1">
      <c r="G691" s="11"/>
      <c r="K691" s="36"/>
      <c r="L691" s="36"/>
      <c r="M691" s="36"/>
    </row>
    <row r="692" spans="7:13" ht="15.75" customHeight="1">
      <c r="G692" s="11"/>
      <c r="K692" s="36"/>
      <c r="L692" s="36"/>
      <c r="M692" s="36"/>
    </row>
    <row r="693" spans="7:13" ht="15.75" customHeight="1">
      <c r="G693" s="11"/>
      <c r="K693" s="36"/>
      <c r="L693" s="36"/>
      <c r="M693" s="36"/>
    </row>
    <row r="694" spans="7:13" ht="15.75" customHeight="1">
      <c r="G694" s="11"/>
      <c r="K694" s="36"/>
      <c r="L694" s="36"/>
      <c r="M694" s="36"/>
    </row>
    <row r="695" spans="7:13" ht="15.75" customHeight="1">
      <c r="G695" s="11"/>
      <c r="K695" s="36"/>
      <c r="L695" s="36"/>
      <c r="M695" s="36"/>
    </row>
    <row r="696" spans="7:13" ht="15.75" customHeight="1">
      <c r="G696" s="11"/>
      <c r="K696" s="36"/>
      <c r="L696" s="36"/>
      <c r="M696" s="36"/>
    </row>
    <row r="697" spans="7:13" ht="15.75" customHeight="1">
      <c r="G697" s="11"/>
      <c r="K697" s="36"/>
      <c r="L697" s="36"/>
      <c r="M697" s="36"/>
    </row>
    <row r="698" spans="7:13" ht="15.75" customHeight="1">
      <c r="G698" s="11"/>
      <c r="K698" s="36"/>
      <c r="L698" s="36"/>
      <c r="M698" s="36"/>
    </row>
    <row r="699" spans="7:13" ht="15.75" customHeight="1">
      <c r="G699" s="11"/>
      <c r="K699" s="36"/>
      <c r="L699" s="36"/>
      <c r="M699" s="36"/>
    </row>
    <row r="700" spans="7:13" ht="15.75" customHeight="1">
      <c r="G700" s="11"/>
      <c r="K700" s="36"/>
      <c r="L700" s="36"/>
      <c r="M700" s="36"/>
    </row>
    <row r="701" spans="7:13" ht="15.75" customHeight="1">
      <c r="G701" s="11"/>
      <c r="K701" s="36"/>
      <c r="L701" s="36"/>
      <c r="M701" s="36"/>
    </row>
    <row r="702" spans="7:13" ht="15.75" customHeight="1">
      <c r="G702" s="11"/>
      <c r="K702" s="36"/>
      <c r="L702" s="36"/>
      <c r="M702" s="36"/>
    </row>
    <row r="703" spans="7:13" ht="15.75" customHeight="1">
      <c r="G703" s="11"/>
      <c r="K703" s="36"/>
      <c r="L703" s="36"/>
      <c r="M703" s="36"/>
    </row>
    <row r="704" spans="7:13" ht="15.75" customHeight="1">
      <c r="G704" s="11"/>
      <c r="K704" s="36"/>
      <c r="L704" s="36"/>
      <c r="M704" s="36"/>
    </row>
    <row r="705" spans="7:13" ht="15.75" customHeight="1">
      <c r="G705" s="11"/>
      <c r="K705" s="36"/>
      <c r="L705" s="36"/>
      <c r="M705" s="36"/>
    </row>
    <row r="706" spans="7:13" ht="15.75" customHeight="1">
      <c r="G706" s="11"/>
      <c r="K706" s="36"/>
      <c r="L706" s="36"/>
      <c r="M706" s="36"/>
    </row>
    <row r="707" spans="7:13" ht="15.75" customHeight="1">
      <c r="G707" s="11"/>
      <c r="K707" s="36"/>
      <c r="L707" s="36"/>
      <c r="M707" s="36"/>
    </row>
    <row r="708" spans="7:13" ht="15.75" customHeight="1">
      <c r="G708" s="11"/>
      <c r="K708" s="36"/>
      <c r="L708" s="36"/>
      <c r="M708" s="36"/>
    </row>
    <row r="709" spans="7:13" ht="15.75" customHeight="1">
      <c r="G709" s="11"/>
      <c r="K709" s="36"/>
      <c r="L709" s="36"/>
      <c r="M709" s="36"/>
    </row>
    <row r="710" spans="7:13" ht="15.75" customHeight="1">
      <c r="G710" s="11"/>
      <c r="K710" s="36"/>
      <c r="L710" s="36"/>
      <c r="M710" s="36"/>
    </row>
    <row r="711" spans="7:13" ht="15.75" customHeight="1">
      <c r="G711" s="11"/>
      <c r="K711" s="36"/>
      <c r="L711" s="36"/>
      <c r="M711" s="36"/>
    </row>
    <row r="712" spans="7:13" ht="15.75" customHeight="1">
      <c r="G712" s="11"/>
      <c r="K712" s="36"/>
      <c r="L712" s="36"/>
      <c r="M712" s="36"/>
    </row>
    <row r="713" spans="7:13" ht="15.75" customHeight="1">
      <c r="G713" s="11"/>
      <c r="K713" s="36"/>
      <c r="L713" s="36"/>
      <c r="M713" s="36"/>
    </row>
    <row r="714" spans="7:13" ht="15.75" customHeight="1">
      <c r="G714" s="11"/>
      <c r="K714" s="36"/>
      <c r="L714" s="36"/>
      <c r="M714" s="36"/>
    </row>
    <row r="715" spans="7:13" ht="15.75" customHeight="1">
      <c r="G715" s="11"/>
      <c r="K715" s="36"/>
      <c r="L715" s="36"/>
      <c r="M715" s="36"/>
    </row>
    <row r="716" spans="7:13" ht="15.75" customHeight="1">
      <c r="G716" s="11"/>
      <c r="K716" s="36"/>
      <c r="L716" s="36"/>
      <c r="M716" s="36"/>
    </row>
    <row r="717" spans="7:13" ht="15.75" customHeight="1">
      <c r="G717" s="11"/>
      <c r="K717" s="36"/>
      <c r="L717" s="36"/>
      <c r="M717" s="36"/>
    </row>
    <row r="718" spans="7:13" ht="15.75" customHeight="1">
      <c r="G718" s="11"/>
      <c r="K718" s="36"/>
      <c r="L718" s="36"/>
      <c r="M718" s="36"/>
    </row>
    <row r="719" spans="7:13" ht="15.75" customHeight="1">
      <c r="G719" s="11"/>
      <c r="K719" s="36"/>
      <c r="L719" s="36"/>
      <c r="M719" s="36"/>
    </row>
    <row r="720" spans="7:13" ht="15.75" customHeight="1">
      <c r="G720" s="11"/>
      <c r="K720" s="36"/>
      <c r="L720" s="36"/>
      <c r="M720" s="36"/>
    </row>
    <row r="721" spans="7:13" ht="15.75" customHeight="1">
      <c r="G721" s="11"/>
      <c r="K721" s="36"/>
      <c r="L721" s="36"/>
      <c r="M721" s="36"/>
    </row>
    <row r="722" spans="7:13" ht="15.75" customHeight="1">
      <c r="G722" s="11"/>
      <c r="K722" s="36"/>
      <c r="L722" s="36"/>
      <c r="M722" s="36"/>
    </row>
    <row r="723" spans="7:13" ht="15.75" customHeight="1">
      <c r="G723" s="11"/>
      <c r="K723" s="36"/>
      <c r="L723" s="36"/>
      <c r="M723" s="36"/>
    </row>
    <row r="724" spans="7:13" ht="15.75" customHeight="1">
      <c r="G724" s="11"/>
      <c r="K724" s="36"/>
      <c r="L724" s="36"/>
      <c r="M724" s="36"/>
    </row>
    <row r="725" spans="7:13" ht="15.75" customHeight="1">
      <c r="G725" s="11"/>
      <c r="K725" s="36"/>
      <c r="L725" s="36"/>
      <c r="M725" s="36"/>
    </row>
    <row r="726" spans="7:13" ht="15.75" customHeight="1">
      <c r="G726" s="11"/>
      <c r="K726" s="36"/>
      <c r="L726" s="36"/>
      <c r="M726" s="36"/>
    </row>
    <row r="727" spans="7:13" ht="15.75" customHeight="1">
      <c r="G727" s="11"/>
      <c r="K727" s="36"/>
      <c r="L727" s="36"/>
      <c r="M727" s="36"/>
    </row>
    <row r="728" spans="7:13" ht="15.75" customHeight="1">
      <c r="G728" s="11"/>
      <c r="K728" s="36"/>
      <c r="L728" s="36"/>
      <c r="M728" s="36"/>
    </row>
    <row r="729" spans="7:13" ht="15.75" customHeight="1">
      <c r="G729" s="11"/>
      <c r="K729" s="36"/>
      <c r="L729" s="36"/>
      <c r="M729" s="36"/>
    </row>
    <row r="730" spans="7:13" ht="15.75" customHeight="1">
      <c r="G730" s="11"/>
      <c r="K730" s="36"/>
      <c r="L730" s="36"/>
      <c r="M730" s="36"/>
    </row>
    <row r="731" spans="7:13" ht="15.75" customHeight="1">
      <c r="G731" s="11"/>
      <c r="K731" s="36"/>
      <c r="L731" s="36"/>
      <c r="M731" s="36"/>
    </row>
    <row r="732" spans="7:13" ht="15.75" customHeight="1">
      <c r="G732" s="11"/>
      <c r="K732" s="36"/>
      <c r="L732" s="36"/>
      <c r="M732" s="36"/>
    </row>
    <row r="733" spans="7:13" ht="15.75" customHeight="1">
      <c r="G733" s="11"/>
      <c r="K733" s="36"/>
      <c r="L733" s="36"/>
      <c r="M733" s="36"/>
    </row>
    <row r="734" spans="7:13" ht="15.75" customHeight="1">
      <c r="G734" s="11"/>
      <c r="K734" s="36"/>
      <c r="L734" s="36"/>
      <c r="M734" s="36"/>
    </row>
    <row r="735" spans="7:13" ht="15.75" customHeight="1">
      <c r="G735" s="11"/>
      <c r="K735" s="36"/>
      <c r="L735" s="36"/>
      <c r="M735" s="36"/>
    </row>
    <row r="736" spans="7:13" ht="15.75" customHeight="1">
      <c r="G736" s="11"/>
      <c r="K736" s="36"/>
      <c r="L736" s="36"/>
      <c r="M736" s="36"/>
    </row>
    <row r="737" spans="7:13" ht="15.75" customHeight="1">
      <c r="G737" s="11"/>
      <c r="K737" s="36"/>
      <c r="L737" s="36"/>
      <c r="M737" s="36"/>
    </row>
    <row r="738" spans="7:13" ht="15.75" customHeight="1">
      <c r="G738" s="11"/>
      <c r="K738" s="36"/>
      <c r="L738" s="36"/>
      <c r="M738" s="36"/>
    </row>
    <row r="739" spans="7:13" ht="15.75" customHeight="1">
      <c r="G739" s="11"/>
      <c r="K739" s="36"/>
      <c r="L739" s="36"/>
      <c r="M739" s="36"/>
    </row>
    <row r="740" spans="7:13" ht="15.75" customHeight="1">
      <c r="G740" s="11"/>
      <c r="K740" s="36"/>
      <c r="L740" s="36"/>
      <c r="M740" s="36"/>
    </row>
    <row r="741" spans="7:13" ht="15.75" customHeight="1">
      <c r="G741" s="11"/>
      <c r="K741" s="36"/>
      <c r="L741" s="36"/>
      <c r="M741" s="36"/>
    </row>
    <row r="742" spans="7:13" ht="15.75" customHeight="1">
      <c r="G742" s="11"/>
      <c r="K742" s="36"/>
      <c r="L742" s="36"/>
      <c r="M742" s="36"/>
    </row>
    <row r="743" spans="7:13" ht="15.75" customHeight="1">
      <c r="G743" s="11"/>
      <c r="K743" s="36"/>
      <c r="L743" s="36"/>
      <c r="M743" s="36"/>
    </row>
    <row r="744" spans="7:13" ht="15.75" customHeight="1">
      <c r="G744" s="11"/>
      <c r="K744" s="36"/>
      <c r="L744" s="36"/>
      <c r="M744" s="36"/>
    </row>
    <row r="745" spans="7:13" ht="15.75" customHeight="1">
      <c r="G745" s="11"/>
      <c r="K745" s="36"/>
      <c r="L745" s="36"/>
      <c r="M745" s="36"/>
    </row>
    <row r="746" spans="7:13" ht="15.75" customHeight="1">
      <c r="G746" s="11"/>
      <c r="K746" s="36"/>
      <c r="L746" s="36"/>
      <c r="M746" s="36"/>
    </row>
    <row r="747" spans="7:13" ht="15.75" customHeight="1">
      <c r="G747" s="11"/>
      <c r="K747" s="36"/>
      <c r="L747" s="36"/>
      <c r="M747" s="36"/>
    </row>
    <row r="748" spans="7:13" ht="15.75" customHeight="1">
      <c r="G748" s="11"/>
      <c r="K748" s="36"/>
      <c r="L748" s="36"/>
      <c r="M748" s="36"/>
    </row>
    <row r="749" spans="7:13" ht="15.75" customHeight="1">
      <c r="G749" s="11"/>
      <c r="K749" s="36"/>
      <c r="L749" s="36"/>
      <c r="M749" s="36"/>
    </row>
    <row r="750" spans="7:13" ht="15.75" customHeight="1">
      <c r="G750" s="11"/>
      <c r="K750" s="36"/>
      <c r="L750" s="36"/>
      <c r="M750" s="36"/>
    </row>
    <row r="751" spans="7:13" ht="15.75" customHeight="1">
      <c r="G751" s="11"/>
      <c r="K751" s="36"/>
      <c r="L751" s="36"/>
      <c r="M751" s="36"/>
    </row>
    <row r="752" spans="7:13" ht="15.75" customHeight="1">
      <c r="G752" s="11"/>
      <c r="K752" s="36"/>
      <c r="L752" s="36"/>
      <c r="M752" s="36"/>
    </row>
    <row r="753" spans="7:13" ht="15.75" customHeight="1">
      <c r="G753" s="11"/>
      <c r="K753" s="36"/>
      <c r="L753" s="36"/>
      <c r="M753" s="36"/>
    </row>
    <row r="754" spans="7:13" ht="15.75" customHeight="1">
      <c r="G754" s="11"/>
      <c r="K754" s="36"/>
      <c r="L754" s="36"/>
      <c r="M754" s="36"/>
    </row>
    <row r="755" spans="7:13" ht="15.75" customHeight="1">
      <c r="G755" s="11"/>
      <c r="K755" s="36"/>
      <c r="L755" s="36"/>
      <c r="M755" s="36"/>
    </row>
    <row r="756" spans="7:13" ht="15.75" customHeight="1">
      <c r="G756" s="11"/>
      <c r="K756" s="36"/>
      <c r="L756" s="36"/>
      <c r="M756" s="36"/>
    </row>
    <row r="757" spans="7:13" ht="15.75" customHeight="1">
      <c r="G757" s="11"/>
      <c r="K757" s="36"/>
      <c r="L757" s="36"/>
      <c r="M757" s="36"/>
    </row>
    <row r="758" spans="7:13" ht="15.75" customHeight="1">
      <c r="G758" s="11"/>
      <c r="K758" s="36"/>
      <c r="L758" s="36"/>
      <c r="M758" s="36"/>
    </row>
    <row r="759" spans="7:13" ht="15.75" customHeight="1">
      <c r="G759" s="11"/>
      <c r="K759" s="36"/>
      <c r="L759" s="36"/>
      <c r="M759" s="36"/>
    </row>
    <row r="760" spans="7:13" ht="15.75" customHeight="1">
      <c r="G760" s="11"/>
      <c r="K760" s="36"/>
      <c r="L760" s="36"/>
      <c r="M760" s="36"/>
    </row>
    <row r="761" spans="7:13" ht="15.75" customHeight="1">
      <c r="G761" s="11"/>
      <c r="K761" s="36"/>
      <c r="L761" s="36"/>
      <c r="M761" s="36"/>
    </row>
    <row r="762" spans="7:13" ht="15.75" customHeight="1">
      <c r="G762" s="11"/>
      <c r="K762" s="36"/>
      <c r="L762" s="36"/>
      <c r="M762" s="36"/>
    </row>
    <row r="763" spans="7:13" ht="15.75" customHeight="1">
      <c r="G763" s="11"/>
      <c r="K763" s="36"/>
      <c r="L763" s="36"/>
      <c r="M763" s="36"/>
    </row>
    <row r="764" spans="7:13" ht="15.75" customHeight="1">
      <c r="G764" s="11"/>
      <c r="K764" s="36"/>
      <c r="L764" s="36"/>
      <c r="M764" s="36"/>
    </row>
    <row r="765" spans="7:13" ht="15.75" customHeight="1">
      <c r="G765" s="11"/>
      <c r="K765" s="36"/>
      <c r="L765" s="36"/>
      <c r="M765" s="36"/>
    </row>
    <row r="766" spans="7:13" ht="15.75" customHeight="1">
      <c r="G766" s="11"/>
      <c r="K766" s="36"/>
      <c r="L766" s="36"/>
      <c r="M766" s="36"/>
    </row>
    <row r="767" spans="7:13" ht="15.75" customHeight="1">
      <c r="G767" s="11"/>
      <c r="K767" s="36"/>
      <c r="L767" s="36"/>
      <c r="M767" s="36"/>
    </row>
    <row r="768" spans="7:13" ht="15.75" customHeight="1">
      <c r="G768" s="11"/>
      <c r="K768" s="36"/>
      <c r="L768" s="36"/>
      <c r="M768" s="36"/>
    </row>
    <row r="769" spans="7:13" ht="15.75" customHeight="1">
      <c r="G769" s="11"/>
      <c r="K769" s="36"/>
      <c r="L769" s="36"/>
      <c r="M769" s="36"/>
    </row>
    <row r="770" spans="7:13" ht="15.75" customHeight="1">
      <c r="G770" s="11"/>
      <c r="K770" s="36"/>
      <c r="L770" s="36"/>
      <c r="M770" s="36"/>
    </row>
    <row r="771" spans="7:13" ht="15.75" customHeight="1">
      <c r="G771" s="11"/>
      <c r="K771" s="36"/>
      <c r="L771" s="36"/>
      <c r="M771" s="36"/>
    </row>
    <row r="772" spans="7:13" ht="15.75" customHeight="1">
      <c r="G772" s="11"/>
      <c r="K772" s="36"/>
      <c r="L772" s="36"/>
      <c r="M772" s="36"/>
    </row>
    <row r="773" spans="7:13" ht="15.75" customHeight="1">
      <c r="G773" s="11"/>
      <c r="K773" s="36"/>
      <c r="L773" s="36"/>
      <c r="M773" s="36"/>
    </row>
    <row r="774" spans="7:13" ht="15.75" customHeight="1">
      <c r="G774" s="11"/>
      <c r="K774" s="36"/>
      <c r="L774" s="36"/>
      <c r="M774" s="36"/>
    </row>
    <row r="775" spans="7:13" ht="15.75" customHeight="1">
      <c r="G775" s="11"/>
      <c r="K775" s="36"/>
      <c r="L775" s="36"/>
      <c r="M775" s="36"/>
    </row>
    <row r="776" spans="7:13" ht="15.75" customHeight="1">
      <c r="G776" s="11"/>
      <c r="K776" s="36"/>
      <c r="L776" s="36"/>
      <c r="M776" s="36"/>
    </row>
    <row r="777" spans="7:13" ht="15.75" customHeight="1">
      <c r="G777" s="11"/>
      <c r="K777" s="36"/>
      <c r="L777" s="36"/>
      <c r="M777" s="36"/>
    </row>
    <row r="778" spans="7:13" ht="15.75" customHeight="1">
      <c r="G778" s="11"/>
      <c r="K778" s="36"/>
      <c r="L778" s="36"/>
      <c r="M778" s="36"/>
    </row>
    <row r="779" spans="7:13" ht="15.75" customHeight="1">
      <c r="G779" s="11"/>
      <c r="K779" s="36"/>
      <c r="L779" s="36"/>
      <c r="M779" s="36"/>
    </row>
    <row r="780" spans="7:13" ht="15.75" customHeight="1">
      <c r="G780" s="11"/>
      <c r="K780" s="36"/>
      <c r="L780" s="36"/>
      <c r="M780" s="36"/>
    </row>
    <row r="781" spans="7:13" ht="15.75" customHeight="1">
      <c r="G781" s="11"/>
      <c r="K781" s="36"/>
      <c r="L781" s="36"/>
      <c r="M781" s="36"/>
    </row>
    <row r="782" spans="7:13" ht="15.75" customHeight="1">
      <c r="G782" s="11"/>
      <c r="K782" s="36"/>
      <c r="L782" s="36"/>
      <c r="M782" s="36"/>
    </row>
    <row r="783" spans="7:13" ht="15.75" customHeight="1">
      <c r="G783" s="11"/>
      <c r="K783" s="36"/>
      <c r="L783" s="36"/>
      <c r="M783" s="36"/>
    </row>
    <row r="784" spans="7:13" ht="15.75" customHeight="1">
      <c r="G784" s="11"/>
      <c r="K784" s="36"/>
      <c r="L784" s="36"/>
      <c r="M784" s="36"/>
    </row>
    <row r="785" spans="7:13" ht="15.75" customHeight="1">
      <c r="G785" s="11"/>
      <c r="K785" s="36"/>
      <c r="L785" s="36"/>
      <c r="M785" s="36"/>
    </row>
    <row r="786" spans="7:13" ht="15.75" customHeight="1">
      <c r="G786" s="11"/>
      <c r="K786" s="36"/>
      <c r="L786" s="36"/>
      <c r="M786" s="36"/>
    </row>
    <row r="787" spans="7:13" ht="15.75" customHeight="1">
      <c r="G787" s="11"/>
      <c r="K787" s="36"/>
      <c r="L787" s="36"/>
      <c r="M787" s="36"/>
    </row>
    <row r="788" spans="7:13" ht="15.75" customHeight="1">
      <c r="G788" s="11"/>
      <c r="K788" s="36"/>
      <c r="L788" s="36"/>
      <c r="M788" s="36"/>
    </row>
    <row r="789" spans="7:13" ht="15.75" customHeight="1">
      <c r="G789" s="11"/>
      <c r="K789" s="36"/>
      <c r="L789" s="36"/>
      <c r="M789" s="36"/>
    </row>
    <row r="790" spans="7:13" ht="15.75" customHeight="1">
      <c r="G790" s="11"/>
      <c r="K790" s="36"/>
      <c r="L790" s="36"/>
      <c r="M790" s="36"/>
    </row>
    <row r="791" spans="7:13" ht="15.75" customHeight="1">
      <c r="G791" s="11"/>
      <c r="K791" s="36"/>
      <c r="L791" s="36"/>
      <c r="M791" s="36"/>
    </row>
    <row r="792" spans="7:13" ht="15.75" customHeight="1">
      <c r="G792" s="11"/>
      <c r="K792" s="36"/>
      <c r="L792" s="36"/>
      <c r="M792" s="36"/>
    </row>
    <row r="793" spans="7:13" ht="15.75" customHeight="1">
      <c r="G793" s="11"/>
      <c r="K793" s="36"/>
      <c r="L793" s="36"/>
      <c r="M793" s="36"/>
    </row>
    <row r="794" spans="7:13" ht="15.75" customHeight="1">
      <c r="G794" s="11"/>
      <c r="K794" s="36"/>
      <c r="L794" s="36"/>
      <c r="M794" s="36"/>
    </row>
    <row r="795" spans="7:13" ht="15.75" customHeight="1">
      <c r="G795" s="11"/>
      <c r="K795" s="36"/>
      <c r="L795" s="36"/>
      <c r="M795" s="36"/>
    </row>
    <row r="796" spans="7:13" ht="15.75" customHeight="1">
      <c r="G796" s="11"/>
      <c r="K796" s="36"/>
      <c r="L796" s="36"/>
      <c r="M796" s="36"/>
    </row>
    <row r="797" spans="7:13" ht="15.75" customHeight="1">
      <c r="G797" s="11"/>
      <c r="K797" s="36"/>
      <c r="L797" s="36"/>
      <c r="M797" s="36"/>
    </row>
    <row r="798" spans="7:13" ht="15.75" customHeight="1">
      <c r="G798" s="11"/>
      <c r="K798" s="36"/>
      <c r="L798" s="36"/>
      <c r="M798" s="36"/>
    </row>
    <row r="799" spans="7:13" ht="15.75" customHeight="1">
      <c r="G799" s="11"/>
      <c r="K799" s="36"/>
      <c r="L799" s="36"/>
      <c r="M799" s="36"/>
    </row>
    <row r="800" spans="7:13" ht="15.75" customHeight="1">
      <c r="G800" s="11"/>
      <c r="K800" s="36"/>
      <c r="L800" s="36"/>
      <c r="M800" s="36"/>
    </row>
    <row r="801" spans="7:13" ht="15.75" customHeight="1">
      <c r="G801" s="11"/>
      <c r="K801" s="36"/>
      <c r="L801" s="36"/>
      <c r="M801" s="36"/>
    </row>
    <row r="802" spans="7:13" ht="15.75" customHeight="1">
      <c r="G802" s="11"/>
      <c r="K802" s="36"/>
      <c r="L802" s="36"/>
      <c r="M802" s="36"/>
    </row>
    <row r="803" spans="7:13" ht="15.75" customHeight="1">
      <c r="G803" s="11"/>
      <c r="K803" s="36"/>
      <c r="L803" s="36"/>
      <c r="M803" s="36"/>
    </row>
    <row r="804" spans="7:13" ht="15.75" customHeight="1">
      <c r="G804" s="11"/>
      <c r="K804" s="36"/>
      <c r="L804" s="36"/>
      <c r="M804" s="36"/>
    </row>
    <row r="805" spans="7:13" ht="15.75" customHeight="1">
      <c r="G805" s="11"/>
      <c r="K805" s="36"/>
      <c r="L805" s="36"/>
      <c r="M805" s="36"/>
    </row>
    <row r="806" spans="7:13" ht="15.75" customHeight="1">
      <c r="G806" s="11"/>
      <c r="K806" s="36"/>
      <c r="L806" s="36"/>
      <c r="M806" s="36"/>
    </row>
    <row r="807" spans="7:13" ht="15.75" customHeight="1">
      <c r="G807" s="11"/>
      <c r="K807" s="36"/>
      <c r="L807" s="36"/>
      <c r="M807" s="36"/>
    </row>
    <row r="808" spans="7:13" ht="15.75" customHeight="1">
      <c r="G808" s="11"/>
      <c r="K808" s="36"/>
      <c r="L808" s="36"/>
      <c r="M808" s="36"/>
    </row>
    <row r="809" spans="7:13" ht="15.75" customHeight="1">
      <c r="G809" s="11"/>
      <c r="K809" s="36"/>
      <c r="L809" s="36"/>
      <c r="M809" s="36"/>
    </row>
    <row r="810" spans="7:13" ht="15.75" customHeight="1">
      <c r="G810" s="11"/>
      <c r="K810" s="36"/>
      <c r="L810" s="36"/>
      <c r="M810" s="36"/>
    </row>
    <row r="811" spans="7:13" ht="15.75" customHeight="1">
      <c r="G811" s="11"/>
      <c r="K811" s="36"/>
      <c r="L811" s="36"/>
      <c r="M811" s="36"/>
    </row>
    <row r="812" spans="7:13" ht="15.75" customHeight="1">
      <c r="G812" s="11"/>
      <c r="K812" s="36"/>
      <c r="L812" s="36"/>
      <c r="M812" s="36"/>
    </row>
    <row r="813" spans="7:13" ht="15.75" customHeight="1">
      <c r="G813" s="11"/>
      <c r="K813" s="36"/>
      <c r="L813" s="36"/>
      <c r="M813" s="36"/>
    </row>
    <row r="814" spans="7:13" ht="15.75" customHeight="1">
      <c r="G814" s="11"/>
      <c r="K814" s="36"/>
      <c r="L814" s="36"/>
      <c r="M814" s="36"/>
    </row>
    <row r="815" spans="7:13" ht="15.75" customHeight="1">
      <c r="G815" s="11"/>
      <c r="K815" s="36"/>
      <c r="L815" s="36"/>
      <c r="M815" s="36"/>
    </row>
    <row r="816" spans="7:13" ht="15.75" customHeight="1">
      <c r="G816" s="11"/>
      <c r="K816" s="36"/>
      <c r="L816" s="36"/>
      <c r="M816" s="36"/>
    </row>
    <row r="817" spans="7:13" ht="15.75" customHeight="1">
      <c r="G817" s="11"/>
      <c r="K817" s="36"/>
      <c r="L817" s="36"/>
      <c r="M817" s="36"/>
    </row>
    <row r="818" spans="7:13" ht="15.75" customHeight="1">
      <c r="G818" s="11"/>
      <c r="K818" s="36"/>
      <c r="L818" s="36"/>
      <c r="M818" s="36"/>
    </row>
    <row r="819" spans="7:13" ht="15.75" customHeight="1">
      <c r="G819" s="11"/>
      <c r="K819" s="36"/>
      <c r="L819" s="36"/>
      <c r="M819" s="36"/>
    </row>
    <row r="820" spans="7:13" ht="15.75" customHeight="1">
      <c r="G820" s="11"/>
      <c r="K820" s="36"/>
      <c r="L820" s="36"/>
      <c r="M820" s="36"/>
    </row>
    <row r="821" spans="7:13" ht="15.75" customHeight="1">
      <c r="G821" s="11"/>
      <c r="K821" s="36"/>
      <c r="L821" s="36"/>
      <c r="M821" s="36"/>
    </row>
    <row r="822" spans="7:13" ht="15.75" customHeight="1">
      <c r="G822" s="11"/>
      <c r="K822" s="36"/>
      <c r="L822" s="36"/>
      <c r="M822" s="36"/>
    </row>
    <row r="823" spans="7:13" ht="15.75" customHeight="1">
      <c r="G823" s="11"/>
      <c r="K823" s="36"/>
      <c r="L823" s="36"/>
      <c r="M823" s="36"/>
    </row>
    <row r="824" spans="7:13" ht="15.75" customHeight="1">
      <c r="G824" s="11"/>
      <c r="K824" s="36"/>
      <c r="L824" s="36"/>
      <c r="M824" s="36"/>
    </row>
    <row r="825" spans="7:13" ht="15.75" customHeight="1">
      <c r="G825" s="11"/>
      <c r="K825" s="36"/>
      <c r="L825" s="36"/>
      <c r="M825" s="36"/>
    </row>
    <row r="826" spans="7:13" ht="15.75" customHeight="1">
      <c r="G826" s="11"/>
      <c r="K826" s="36"/>
      <c r="L826" s="36"/>
      <c r="M826" s="36"/>
    </row>
    <row r="827" spans="7:13" ht="15.75" customHeight="1">
      <c r="G827" s="11"/>
      <c r="K827" s="36"/>
      <c r="L827" s="36"/>
      <c r="M827" s="36"/>
    </row>
    <row r="828" spans="7:13" ht="15.75" customHeight="1">
      <c r="G828" s="11"/>
      <c r="K828" s="36"/>
      <c r="L828" s="36"/>
      <c r="M828" s="36"/>
    </row>
    <row r="829" spans="7:13" ht="15.75" customHeight="1">
      <c r="G829" s="11"/>
      <c r="K829" s="36"/>
      <c r="L829" s="36"/>
      <c r="M829" s="36"/>
    </row>
    <row r="830" spans="7:13" ht="15.75" customHeight="1">
      <c r="G830" s="11"/>
      <c r="K830" s="36"/>
      <c r="L830" s="36"/>
      <c r="M830" s="36"/>
    </row>
    <row r="831" spans="7:13" ht="15.75" customHeight="1">
      <c r="G831" s="11"/>
      <c r="K831" s="36"/>
      <c r="L831" s="36"/>
      <c r="M831" s="36"/>
    </row>
    <row r="832" spans="7:13" ht="15.75" customHeight="1">
      <c r="G832" s="11"/>
      <c r="K832" s="36"/>
      <c r="L832" s="36"/>
      <c r="M832" s="36"/>
    </row>
    <row r="833" spans="7:13" ht="15.75" customHeight="1">
      <c r="G833" s="11"/>
      <c r="K833" s="36"/>
      <c r="L833" s="36"/>
      <c r="M833" s="36"/>
    </row>
    <row r="834" spans="7:13" ht="15.75" customHeight="1">
      <c r="G834" s="11"/>
      <c r="K834" s="36"/>
      <c r="L834" s="36"/>
      <c r="M834" s="36"/>
    </row>
    <row r="835" spans="7:13" ht="15.75" customHeight="1">
      <c r="G835" s="11"/>
      <c r="K835" s="36"/>
      <c r="L835" s="36"/>
      <c r="M835" s="36"/>
    </row>
    <row r="836" spans="7:13" ht="15.75" customHeight="1">
      <c r="G836" s="11"/>
      <c r="K836" s="36"/>
      <c r="L836" s="36"/>
      <c r="M836" s="36"/>
    </row>
    <row r="837" spans="7:13" ht="15.75" customHeight="1">
      <c r="G837" s="11"/>
      <c r="K837" s="36"/>
      <c r="L837" s="36"/>
      <c r="M837" s="36"/>
    </row>
    <row r="838" spans="7:13" ht="15.75" customHeight="1">
      <c r="G838" s="11"/>
      <c r="K838" s="36"/>
      <c r="L838" s="36"/>
      <c r="M838" s="36"/>
    </row>
    <row r="839" spans="7:13" ht="15.75" customHeight="1">
      <c r="G839" s="11"/>
      <c r="K839" s="36"/>
      <c r="L839" s="36"/>
      <c r="M839" s="36"/>
    </row>
    <row r="840" spans="7:13" ht="15.75" customHeight="1">
      <c r="G840" s="11"/>
      <c r="K840" s="36"/>
      <c r="L840" s="36"/>
      <c r="M840" s="36"/>
    </row>
    <row r="841" spans="7:13" ht="15.75" customHeight="1">
      <c r="G841" s="11"/>
      <c r="K841" s="36"/>
      <c r="L841" s="36"/>
      <c r="M841" s="36"/>
    </row>
    <row r="842" spans="7:13" ht="15.75" customHeight="1">
      <c r="G842" s="11"/>
      <c r="K842" s="36"/>
      <c r="L842" s="36"/>
      <c r="M842" s="36"/>
    </row>
    <row r="843" spans="7:13" ht="15.75" customHeight="1">
      <c r="G843" s="11"/>
      <c r="K843" s="36"/>
      <c r="L843" s="36"/>
      <c r="M843" s="36"/>
    </row>
    <row r="844" spans="7:13" ht="15.75" customHeight="1">
      <c r="G844" s="11"/>
      <c r="K844" s="36"/>
      <c r="L844" s="36"/>
      <c r="M844" s="36"/>
    </row>
    <row r="845" spans="7:13" ht="15.75" customHeight="1">
      <c r="G845" s="11"/>
      <c r="K845" s="36"/>
      <c r="L845" s="36"/>
      <c r="M845" s="36"/>
    </row>
    <row r="846" spans="7:13" ht="15.75" customHeight="1">
      <c r="G846" s="11"/>
      <c r="K846" s="36"/>
      <c r="L846" s="36"/>
      <c r="M846" s="36"/>
    </row>
    <row r="847" spans="7:13" ht="15.75" customHeight="1">
      <c r="G847" s="11"/>
      <c r="K847" s="36"/>
      <c r="L847" s="36"/>
      <c r="M847" s="36"/>
    </row>
    <row r="848" spans="7:13" ht="15.75" customHeight="1">
      <c r="G848" s="11"/>
      <c r="K848" s="36"/>
      <c r="L848" s="36"/>
      <c r="M848" s="36"/>
    </row>
    <row r="849" spans="7:13" ht="15.75" customHeight="1">
      <c r="G849" s="11"/>
      <c r="K849" s="36"/>
      <c r="L849" s="36"/>
      <c r="M849" s="36"/>
    </row>
    <row r="850" spans="7:13" ht="15.75" customHeight="1">
      <c r="G850" s="11"/>
      <c r="K850" s="36"/>
      <c r="L850" s="36"/>
      <c r="M850" s="36"/>
    </row>
    <row r="851" spans="7:13" ht="15.75" customHeight="1">
      <c r="G851" s="11"/>
      <c r="K851" s="36"/>
      <c r="L851" s="36"/>
      <c r="M851" s="36"/>
    </row>
    <row r="852" spans="7:13" ht="15.75" customHeight="1">
      <c r="G852" s="11"/>
      <c r="K852" s="36"/>
      <c r="L852" s="36"/>
      <c r="M852" s="36"/>
    </row>
    <row r="853" spans="7:13" ht="15.75" customHeight="1">
      <c r="G853" s="11"/>
      <c r="K853" s="36"/>
      <c r="L853" s="36"/>
      <c r="M853" s="36"/>
    </row>
    <row r="854" spans="7:13" ht="15.75" customHeight="1">
      <c r="G854" s="11"/>
      <c r="K854" s="36"/>
      <c r="L854" s="36"/>
      <c r="M854" s="36"/>
    </row>
    <row r="855" spans="7:13" ht="15.75" customHeight="1">
      <c r="G855" s="11"/>
      <c r="K855" s="36"/>
      <c r="L855" s="36"/>
      <c r="M855" s="36"/>
    </row>
    <row r="856" spans="7:13" ht="15.75" customHeight="1">
      <c r="G856" s="11"/>
      <c r="K856" s="36"/>
      <c r="L856" s="36"/>
      <c r="M856" s="36"/>
    </row>
    <row r="857" spans="7:13" ht="15.75" customHeight="1">
      <c r="G857" s="11"/>
      <c r="K857" s="36"/>
      <c r="L857" s="36"/>
      <c r="M857" s="36"/>
    </row>
    <row r="858" spans="7:13" ht="15.75" customHeight="1">
      <c r="G858" s="11"/>
      <c r="K858" s="36"/>
      <c r="L858" s="36"/>
      <c r="M858" s="36"/>
    </row>
    <row r="859" spans="7:13" ht="15.75" customHeight="1">
      <c r="G859" s="11"/>
      <c r="K859" s="36"/>
      <c r="L859" s="36"/>
      <c r="M859" s="36"/>
    </row>
    <row r="860" spans="7:13" ht="15.75" customHeight="1">
      <c r="G860" s="11"/>
      <c r="K860" s="36"/>
      <c r="L860" s="36"/>
      <c r="M860" s="36"/>
    </row>
    <row r="861" spans="7:13" ht="15.75" customHeight="1">
      <c r="G861" s="11"/>
      <c r="K861" s="36"/>
      <c r="L861" s="36"/>
      <c r="M861" s="36"/>
    </row>
    <row r="862" spans="7:13" ht="15.75" customHeight="1">
      <c r="G862" s="11"/>
      <c r="K862" s="36"/>
      <c r="L862" s="36"/>
      <c r="M862" s="36"/>
    </row>
    <row r="863" spans="7:13" ht="15.75" customHeight="1">
      <c r="G863" s="11"/>
      <c r="K863" s="36"/>
      <c r="L863" s="36"/>
      <c r="M863" s="36"/>
    </row>
    <row r="864" spans="7:13" ht="15.75" customHeight="1">
      <c r="G864" s="11"/>
      <c r="K864" s="36"/>
      <c r="L864" s="36"/>
      <c r="M864" s="36"/>
    </row>
    <row r="865" spans="7:13" ht="15.75" customHeight="1">
      <c r="G865" s="11"/>
      <c r="K865" s="36"/>
      <c r="L865" s="36"/>
      <c r="M865" s="36"/>
    </row>
    <row r="866" spans="7:13" ht="15.75" customHeight="1">
      <c r="G866" s="11"/>
      <c r="K866" s="36"/>
      <c r="L866" s="36"/>
      <c r="M866" s="36"/>
    </row>
    <row r="867" spans="7:13" ht="15.75" customHeight="1">
      <c r="G867" s="11"/>
      <c r="K867" s="36"/>
      <c r="L867" s="36"/>
      <c r="M867" s="36"/>
    </row>
    <row r="868" spans="7:13" ht="15.75" customHeight="1">
      <c r="G868" s="11"/>
      <c r="K868" s="36"/>
      <c r="L868" s="36"/>
      <c r="M868" s="36"/>
    </row>
    <row r="869" spans="7:13" ht="15.75" customHeight="1">
      <c r="G869" s="11"/>
      <c r="K869" s="36"/>
      <c r="L869" s="36"/>
      <c r="M869" s="36"/>
    </row>
    <row r="870" spans="7:13" ht="15.75" customHeight="1">
      <c r="G870" s="11"/>
      <c r="K870" s="36"/>
      <c r="L870" s="36"/>
      <c r="M870" s="36"/>
    </row>
    <row r="871" spans="7:13" ht="15.75" customHeight="1">
      <c r="G871" s="11"/>
      <c r="K871" s="36"/>
      <c r="L871" s="36"/>
      <c r="M871" s="36"/>
    </row>
    <row r="872" spans="7:13" ht="15.75" customHeight="1">
      <c r="G872" s="11"/>
      <c r="K872" s="36"/>
      <c r="L872" s="36"/>
      <c r="M872" s="36"/>
    </row>
    <row r="873" spans="7:13" ht="15.75" customHeight="1">
      <c r="G873" s="11"/>
      <c r="K873" s="36"/>
      <c r="L873" s="36"/>
      <c r="M873" s="36"/>
    </row>
    <row r="874" spans="7:13" ht="15.75" customHeight="1">
      <c r="G874" s="11"/>
      <c r="K874" s="36"/>
      <c r="L874" s="36"/>
      <c r="M874" s="36"/>
    </row>
    <row r="875" spans="7:13" ht="15.75" customHeight="1">
      <c r="G875" s="11"/>
      <c r="K875" s="36"/>
      <c r="L875" s="36"/>
      <c r="M875" s="36"/>
    </row>
    <row r="876" spans="7:13" ht="15.75" customHeight="1">
      <c r="G876" s="11"/>
      <c r="K876" s="36"/>
      <c r="L876" s="36"/>
      <c r="M876" s="36"/>
    </row>
    <row r="877" spans="7:13" ht="15.75" customHeight="1">
      <c r="G877" s="11"/>
      <c r="K877" s="36"/>
      <c r="L877" s="36"/>
      <c r="M877" s="36"/>
    </row>
    <row r="878" spans="7:13" ht="15.75" customHeight="1">
      <c r="G878" s="11"/>
      <c r="K878" s="36"/>
      <c r="L878" s="36"/>
      <c r="M878" s="36"/>
    </row>
    <row r="879" spans="7:13" ht="15.75" customHeight="1">
      <c r="G879" s="11"/>
      <c r="K879" s="36"/>
      <c r="L879" s="36"/>
      <c r="M879" s="36"/>
    </row>
    <row r="880" spans="7:13" ht="15.75" customHeight="1">
      <c r="G880" s="11"/>
      <c r="K880" s="36"/>
      <c r="L880" s="36"/>
      <c r="M880" s="36"/>
    </row>
    <row r="881" spans="7:13" ht="15.75" customHeight="1">
      <c r="G881" s="11"/>
      <c r="K881" s="36"/>
      <c r="L881" s="36"/>
      <c r="M881" s="36"/>
    </row>
    <row r="882" spans="7:13" ht="15.75" customHeight="1">
      <c r="G882" s="11"/>
      <c r="K882" s="36"/>
      <c r="L882" s="36"/>
      <c r="M882" s="36"/>
    </row>
    <row r="883" spans="7:13" ht="15.75" customHeight="1">
      <c r="G883" s="11"/>
      <c r="K883" s="36"/>
      <c r="L883" s="36"/>
      <c r="M883" s="36"/>
    </row>
    <row r="884" spans="7:13" ht="15.75" customHeight="1">
      <c r="G884" s="11"/>
      <c r="K884" s="36"/>
      <c r="L884" s="36"/>
      <c r="M884" s="36"/>
    </row>
    <row r="885" spans="7:13" ht="15.75" customHeight="1">
      <c r="G885" s="11"/>
      <c r="K885" s="36"/>
      <c r="L885" s="36"/>
      <c r="M885" s="36"/>
    </row>
    <row r="886" spans="7:13" ht="15.75" customHeight="1">
      <c r="G886" s="11"/>
      <c r="K886" s="36"/>
      <c r="L886" s="36"/>
      <c r="M886" s="36"/>
    </row>
    <row r="887" spans="7:13" ht="15.75" customHeight="1">
      <c r="G887" s="11"/>
      <c r="K887" s="36"/>
      <c r="L887" s="36"/>
      <c r="M887" s="36"/>
    </row>
    <row r="888" spans="7:13" ht="15.75" customHeight="1">
      <c r="G888" s="11"/>
      <c r="K888" s="36"/>
      <c r="L888" s="36"/>
      <c r="M888" s="36"/>
    </row>
    <row r="889" spans="7:13" ht="15.75" customHeight="1">
      <c r="G889" s="11"/>
      <c r="K889" s="36"/>
      <c r="L889" s="36"/>
      <c r="M889" s="36"/>
    </row>
    <row r="890" spans="7:13" ht="15.75" customHeight="1">
      <c r="G890" s="11"/>
      <c r="K890" s="36"/>
      <c r="L890" s="36"/>
      <c r="M890" s="36"/>
    </row>
    <row r="891" spans="7:13" ht="15.75" customHeight="1">
      <c r="G891" s="11"/>
      <c r="K891" s="36"/>
      <c r="L891" s="36"/>
      <c r="M891" s="36"/>
    </row>
    <row r="892" spans="7:13" ht="15.75" customHeight="1">
      <c r="G892" s="11"/>
      <c r="K892" s="36"/>
      <c r="L892" s="36"/>
      <c r="M892" s="36"/>
    </row>
    <row r="893" spans="7:13" ht="15.75" customHeight="1">
      <c r="G893" s="11"/>
      <c r="K893" s="36"/>
      <c r="L893" s="36"/>
      <c r="M893" s="36"/>
    </row>
    <row r="894" spans="7:13" ht="15.75" customHeight="1">
      <c r="G894" s="11"/>
      <c r="K894" s="36"/>
      <c r="L894" s="36"/>
      <c r="M894" s="36"/>
    </row>
    <row r="895" spans="7:13" ht="15.75" customHeight="1">
      <c r="G895" s="11"/>
      <c r="K895" s="36"/>
      <c r="L895" s="36"/>
      <c r="M895" s="36"/>
    </row>
    <row r="896" spans="7:13" ht="15.75" customHeight="1">
      <c r="G896" s="11"/>
      <c r="K896" s="36"/>
      <c r="L896" s="36"/>
      <c r="M896" s="36"/>
    </row>
    <row r="897" spans="7:13" ht="15.75" customHeight="1">
      <c r="G897" s="11"/>
      <c r="K897" s="36"/>
      <c r="L897" s="36"/>
      <c r="M897" s="36"/>
    </row>
    <row r="898" spans="7:13" ht="15.75" customHeight="1">
      <c r="G898" s="11"/>
      <c r="K898" s="36"/>
      <c r="L898" s="36"/>
      <c r="M898" s="36"/>
    </row>
    <row r="899" spans="7:13" ht="15.75" customHeight="1">
      <c r="G899" s="11"/>
      <c r="K899" s="36"/>
      <c r="L899" s="36"/>
      <c r="M899" s="36"/>
    </row>
    <row r="900" spans="7:13" ht="15.75" customHeight="1">
      <c r="G900" s="11"/>
      <c r="K900" s="36"/>
      <c r="L900" s="36"/>
      <c r="M900" s="36"/>
    </row>
    <row r="901" spans="7:13" ht="15.75" customHeight="1">
      <c r="G901" s="11"/>
      <c r="K901" s="36"/>
      <c r="L901" s="36"/>
      <c r="M901" s="36"/>
    </row>
    <row r="902" spans="7:13" ht="15.75" customHeight="1">
      <c r="G902" s="11"/>
      <c r="K902" s="36"/>
      <c r="L902" s="36"/>
      <c r="M902" s="36"/>
    </row>
    <row r="903" spans="7:13" ht="15.75" customHeight="1">
      <c r="G903" s="11"/>
      <c r="K903" s="36"/>
      <c r="L903" s="36"/>
      <c r="M903" s="36"/>
    </row>
    <row r="904" spans="7:13" ht="15.75" customHeight="1">
      <c r="G904" s="11"/>
      <c r="K904" s="36"/>
      <c r="L904" s="36"/>
      <c r="M904" s="36"/>
    </row>
    <row r="905" spans="7:13" ht="15.75" customHeight="1">
      <c r="G905" s="11"/>
      <c r="K905" s="36"/>
      <c r="L905" s="36"/>
      <c r="M905" s="36"/>
    </row>
    <row r="906" spans="7:13" ht="15.75" customHeight="1">
      <c r="G906" s="11"/>
      <c r="K906" s="36"/>
      <c r="L906" s="36"/>
      <c r="M906" s="36"/>
    </row>
    <row r="907" spans="7:13" ht="15.75" customHeight="1">
      <c r="G907" s="11"/>
      <c r="K907" s="36"/>
      <c r="L907" s="36"/>
      <c r="M907" s="36"/>
    </row>
    <row r="908" spans="7:13" ht="15.75" customHeight="1">
      <c r="G908" s="11"/>
      <c r="K908" s="36"/>
      <c r="L908" s="36"/>
      <c r="M908" s="36"/>
    </row>
    <row r="909" spans="7:13" ht="15.75" customHeight="1">
      <c r="G909" s="11"/>
      <c r="K909" s="36"/>
      <c r="L909" s="36"/>
      <c r="M909" s="36"/>
    </row>
    <row r="910" spans="7:13" ht="15.75" customHeight="1">
      <c r="G910" s="11"/>
      <c r="K910" s="36"/>
      <c r="L910" s="36"/>
      <c r="M910" s="36"/>
    </row>
    <row r="911" spans="7:13" ht="15.75" customHeight="1">
      <c r="G911" s="11"/>
      <c r="K911" s="36"/>
      <c r="L911" s="36"/>
      <c r="M911" s="36"/>
    </row>
    <row r="912" spans="7:13" ht="15.75" customHeight="1">
      <c r="G912" s="11"/>
      <c r="K912" s="36"/>
      <c r="L912" s="36"/>
      <c r="M912" s="36"/>
    </row>
    <row r="913" spans="7:13" ht="15.75" customHeight="1">
      <c r="G913" s="11"/>
      <c r="K913" s="36"/>
      <c r="L913" s="36"/>
      <c r="M913" s="36"/>
    </row>
    <row r="914" spans="7:13" ht="15.75" customHeight="1">
      <c r="G914" s="11"/>
      <c r="K914" s="36"/>
      <c r="L914" s="36"/>
      <c r="M914" s="36"/>
    </row>
    <row r="915" spans="7:13" ht="15.75" customHeight="1">
      <c r="G915" s="11"/>
      <c r="K915" s="36"/>
      <c r="L915" s="36"/>
      <c r="M915" s="36"/>
    </row>
    <row r="916" spans="7:13" ht="15.75" customHeight="1">
      <c r="G916" s="11"/>
      <c r="K916" s="36"/>
      <c r="L916" s="36"/>
      <c r="M916" s="36"/>
    </row>
    <row r="917" spans="7:13" ht="15.75" customHeight="1">
      <c r="G917" s="11"/>
      <c r="K917" s="36"/>
      <c r="L917" s="36"/>
      <c r="M917" s="36"/>
    </row>
    <row r="918" spans="7:13" ht="15.75" customHeight="1">
      <c r="G918" s="11"/>
      <c r="K918" s="36"/>
      <c r="L918" s="36"/>
      <c r="M918" s="36"/>
    </row>
    <row r="919" spans="7:13" ht="15.75" customHeight="1">
      <c r="G919" s="11"/>
      <c r="K919" s="36"/>
      <c r="L919" s="36"/>
      <c r="M919" s="36"/>
    </row>
    <row r="920" spans="7:13" ht="15.75" customHeight="1">
      <c r="G920" s="11"/>
      <c r="K920" s="36"/>
      <c r="L920" s="36"/>
      <c r="M920" s="36"/>
    </row>
    <row r="921" spans="7:13" ht="15.75" customHeight="1">
      <c r="G921" s="11"/>
      <c r="K921" s="36"/>
      <c r="L921" s="36"/>
      <c r="M921" s="36"/>
    </row>
    <row r="922" spans="7:13" ht="15.75" customHeight="1">
      <c r="G922" s="11"/>
      <c r="K922" s="36"/>
      <c r="L922" s="36"/>
      <c r="M922" s="36"/>
    </row>
    <row r="923" spans="7:13" ht="15.75" customHeight="1">
      <c r="G923" s="11"/>
      <c r="K923" s="36"/>
      <c r="L923" s="36"/>
      <c r="M923" s="36"/>
    </row>
    <row r="924" spans="7:13" ht="15.75" customHeight="1">
      <c r="G924" s="11"/>
      <c r="K924" s="36"/>
      <c r="L924" s="36"/>
      <c r="M924" s="36"/>
    </row>
    <row r="925" spans="7:13" ht="15.75" customHeight="1">
      <c r="G925" s="11"/>
      <c r="K925" s="36"/>
      <c r="L925" s="36"/>
      <c r="M925" s="36"/>
    </row>
    <row r="926" spans="7:13" ht="15.75" customHeight="1">
      <c r="G926" s="11"/>
      <c r="K926" s="36"/>
      <c r="L926" s="36"/>
      <c r="M926" s="36"/>
    </row>
    <row r="927" spans="7:13" ht="15.75" customHeight="1">
      <c r="G927" s="11"/>
      <c r="K927" s="36"/>
      <c r="L927" s="36"/>
      <c r="M927" s="36"/>
    </row>
    <row r="928" spans="7:13" ht="15.75" customHeight="1">
      <c r="G928" s="11"/>
      <c r="K928" s="36"/>
      <c r="L928" s="36"/>
      <c r="M928" s="36"/>
    </row>
    <row r="929" spans="7:13" ht="15.75" customHeight="1">
      <c r="G929" s="11"/>
      <c r="K929" s="36"/>
      <c r="L929" s="36"/>
      <c r="M929" s="36"/>
    </row>
    <row r="930" spans="7:13" ht="15.75" customHeight="1">
      <c r="G930" s="11"/>
      <c r="K930" s="36"/>
      <c r="L930" s="36"/>
      <c r="M930" s="36"/>
    </row>
    <row r="931" spans="7:13" ht="15.75" customHeight="1">
      <c r="G931" s="11"/>
      <c r="K931" s="36"/>
      <c r="L931" s="36"/>
      <c r="M931" s="36"/>
    </row>
    <row r="932" spans="7:13" ht="15.75" customHeight="1">
      <c r="G932" s="11"/>
      <c r="K932" s="36"/>
      <c r="L932" s="36"/>
      <c r="M932" s="36"/>
    </row>
    <row r="933" spans="7:13" ht="15.75" customHeight="1">
      <c r="G933" s="11"/>
      <c r="K933" s="36"/>
      <c r="L933" s="36"/>
      <c r="M933" s="36"/>
    </row>
    <row r="934" spans="7:13" ht="15.75" customHeight="1">
      <c r="G934" s="11"/>
      <c r="K934" s="36"/>
      <c r="L934" s="36"/>
      <c r="M934" s="36"/>
    </row>
    <row r="935" spans="7:13" ht="15.75" customHeight="1">
      <c r="G935" s="11"/>
      <c r="K935" s="36"/>
      <c r="L935" s="36"/>
      <c r="M935" s="36"/>
    </row>
    <row r="936" spans="7:13" ht="15.75" customHeight="1">
      <c r="G936" s="11"/>
      <c r="K936" s="36"/>
      <c r="L936" s="36"/>
      <c r="M936" s="36"/>
    </row>
    <row r="937" spans="7:13" ht="15.75" customHeight="1">
      <c r="G937" s="11"/>
      <c r="K937" s="36"/>
      <c r="L937" s="36"/>
      <c r="M937" s="36"/>
    </row>
    <row r="938" spans="7:13" ht="15.75" customHeight="1">
      <c r="G938" s="11"/>
      <c r="K938" s="36"/>
      <c r="L938" s="36"/>
      <c r="M938" s="36"/>
    </row>
    <row r="939" spans="7:13" ht="15.75" customHeight="1">
      <c r="G939" s="11"/>
      <c r="K939" s="36"/>
      <c r="L939" s="36"/>
      <c r="M939" s="36"/>
    </row>
    <row r="940" spans="7:13" ht="15.75" customHeight="1">
      <c r="G940" s="11"/>
      <c r="K940" s="36"/>
      <c r="L940" s="36"/>
      <c r="M940" s="36"/>
    </row>
    <row r="941" spans="7:13" ht="15.75" customHeight="1">
      <c r="G941" s="11"/>
      <c r="K941" s="36"/>
      <c r="L941" s="36"/>
      <c r="M941" s="36"/>
    </row>
    <row r="942" spans="7:13" ht="15.75" customHeight="1">
      <c r="G942" s="11"/>
      <c r="K942" s="36"/>
      <c r="L942" s="36"/>
      <c r="M942" s="36"/>
    </row>
    <row r="943" spans="7:13" ht="15.75" customHeight="1">
      <c r="G943" s="11"/>
      <c r="K943" s="36"/>
      <c r="L943" s="36"/>
      <c r="M943" s="36"/>
    </row>
    <row r="944" spans="7:13" ht="15.75" customHeight="1">
      <c r="G944" s="11"/>
      <c r="K944" s="36"/>
      <c r="L944" s="36"/>
      <c r="M944" s="36"/>
    </row>
    <row r="945" spans="7:13" ht="15.75" customHeight="1">
      <c r="G945" s="11"/>
      <c r="K945" s="36"/>
      <c r="L945" s="36"/>
      <c r="M945" s="36"/>
    </row>
    <row r="946" spans="7:13" ht="15.75" customHeight="1">
      <c r="G946" s="11"/>
      <c r="K946" s="36"/>
      <c r="L946" s="36"/>
      <c r="M946" s="36"/>
    </row>
    <row r="947" spans="7:13" ht="15.75" customHeight="1">
      <c r="G947" s="11"/>
      <c r="K947" s="36"/>
      <c r="L947" s="36"/>
      <c r="M947" s="36"/>
    </row>
    <row r="948" spans="7:13" ht="15.75" customHeight="1">
      <c r="G948" s="11"/>
      <c r="K948" s="36"/>
      <c r="L948" s="36"/>
      <c r="M948" s="36"/>
    </row>
    <row r="949" spans="7:13" ht="15.75" customHeight="1">
      <c r="G949" s="11"/>
      <c r="K949" s="36"/>
      <c r="L949" s="36"/>
      <c r="M949" s="36"/>
    </row>
    <row r="950" spans="7:13" ht="15.75" customHeight="1">
      <c r="G950" s="11"/>
      <c r="K950" s="36"/>
      <c r="L950" s="36"/>
      <c r="M950" s="36"/>
    </row>
    <row r="951" spans="7:13" ht="15.75" customHeight="1">
      <c r="G951" s="11"/>
      <c r="K951" s="36"/>
      <c r="L951" s="36"/>
      <c r="M951" s="36"/>
    </row>
    <row r="952" spans="7:13" ht="15.75" customHeight="1">
      <c r="G952" s="11"/>
      <c r="K952" s="36"/>
      <c r="L952" s="36"/>
      <c r="M952" s="36"/>
    </row>
    <row r="953" spans="7:13" ht="15.75" customHeight="1">
      <c r="G953" s="11"/>
      <c r="K953" s="36"/>
      <c r="L953" s="36"/>
      <c r="M953" s="36"/>
    </row>
    <row r="954" spans="7:13" ht="15.75" customHeight="1">
      <c r="G954" s="11"/>
      <c r="K954" s="36"/>
      <c r="L954" s="36"/>
      <c r="M954" s="36"/>
    </row>
    <row r="955" spans="7:13" ht="15.75" customHeight="1">
      <c r="G955" s="11"/>
      <c r="K955" s="36"/>
      <c r="L955" s="36"/>
      <c r="M955" s="36"/>
    </row>
    <row r="956" spans="7:13" ht="15.75" customHeight="1">
      <c r="G956" s="11"/>
      <c r="K956" s="36"/>
      <c r="L956" s="36"/>
      <c r="M956" s="36"/>
    </row>
    <row r="957" spans="7:13" ht="15.75" customHeight="1">
      <c r="G957" s="11"/>
      <c r="K957" s="36"/>
      <c r="L957" s="36"/>
      <c r="M957" s="36"/>
    </row>
    <row r="958" spans="7:13" ht="15.75" customHeight="1">
      <c r="G958" s="11"/>
      <c r="K958" s="36"/>
      <c r="L958" s="36"/>
      <c r="M958" s="36"/>
    </row>
    <row r="959" spans="7:13" ht="15.75" customHeight="1">
      <c r="G959" s="11"/>
      <c r="K959" s="36"/>
      <c r="L959" s="36"/>
      <c r="M959" s="36"/>
    </row>
    <row r="960" spans="7:13" ht="15.75" customHeight="1">
      <c r="G960" s="11"/>
      <c r="K960" s="36"/>
      <c r="L960" s="36"/>
      <c r="M960" s="36"/>
    </row>
    <row r="961" spans="7:13" ht="15.75" customHeight="1">
      <c r="G961" s="11"/>
      <c r="K961" s="36"/>
      <c r="L961" s="36"/>
      <c r="M961" s="36"/>
    </row>
    <row r="962" spans="7:13" ht="15.75" customHeight="1">
      <c r="G962" s="11"/>
      <c r="K962" s="36"/>
      <c r="L962" s="36"/>
      <c r="M962" s="36"/>
    </row>
    <row r="963" spans="7:13" ht="15.75" customHeight="1">
      <c r="G963" s="11"/>
      <c r="K963" s="36"/>
      <c r="L963" s="36"/>
      <c r="M963" s="36"/>
    </row>
    <row r="964" spans="7:13" ht="15.75" customHeight="1">
      <c r="G964" s="11"/>
      <c r="K964" s="36"/>
      <c r="L964" s="36"/>
      <c r="M964" s="36"/>
    </row>
    <row r="965" spans="7:13" ht="15.75" customHeight="1">
      <c r="G965" s="11"/>
      <c r="K965" s="36"/>
      <c r="L965" s="36"/>
      <c r="M965" s="36"/>
    </row>
    <row r="966" spans="7:13" ht="15.75" customHeight="1">
      <c r="G966" s="11"/>
      <c r="K966" s="36"/>
      <c r="L966" s="36"/>
      <c r="M966" s="36"/>
    </row>
    <row r="967" spans="7:13" ht="15.75" customHeight="1">
      <c r="G967" s="11"/>
      <c r="K967" s="36"/>
      <c r="L967" s="36"/>
      <c r="M967" s="36"/>
    </row>
    <row r="968" spans="7:13" ht="15.75" customHeight="1">
      <c r="G968" s="11"/>
      <c r="K968" s="36"/>
      <c r="L968" s="36"/>
      <c r="M968" s="36"/>
    </row>
    <row r="969" spans="7:13" ht="15.75" customHeight="1">
      <c r="G969" s="11"/>
      <c r="K969" s="36"/>
      <c r="L969" s="36"/>
      <c r="M969" s="36"/>
    </row>
    <row r="970" spans="7:13" ht="15.75" customHeight="1">
      <c r="G970" s="11"/>
      <c r="K970" s="36"/>
      <c r="L970" s="36"/>
      <c r="M970" s="36"/>
    </row>
    <row r="971" spans="7:13" ht="15.75" customHeight="1">
      <c r="G971" s="11"/>
      <c r="K971" s="36"/>
      <c r="L971" s="36"/>
      <c r="M971" s="36"/>
    </row>
    <row r="972" spans="7:13" ht="15.75" customHeight="1">
      <c r="G972" s="11"/>
      <c r="K972" s="36"/>
      <c r="L972" s="36"/>
      <c r="M972" s="36"/>
    </row>
    <row r="973" spans="7:13" ht="15.75" customHeight="1">
      <c r="G973" s="11"/>
      <c r="K973" s="36"/>
      <c r="L973" s="36"/>
      <c r="M973" s="36"/>
    </row>
    <row r="974" spans="7:13" ht="15.75" customHeight="1">
      <c r="G974" s="11"/>
      <c r="K974" s="36"/>
      <c r="L974" s="36"/>
      <c r="M974" s="36"/>
    </row>
    <row r="975" spans="7:13" ht="15.75" customHeight="1">
      <c r="G975" s="11"/>
      <c r="K975" s="36"/>
      <c r="L975" s="36"/>
      <c r="M975" s="36"/>
    </row>
    <row r="976" spans="7:13" ht="15.75" customHeight="1">
      <c r="G976" s="11"/>
      <c r="K976" s="36"/>
      <c r="L976" s="36"/>
      <c r="M976" s="36"/>
    </row>
    <row r="977" spans="7:13" ht="15.75" customHeight="1">
      <c r="G977" s="11"/>
      <c r="K977" s="36"/>
      <c r="L977" s="36"/>
      <c r="M977" s="36"/>
    </row>
    <row r="978" spans="7:13" ht="15.75" customHeight="1">
      <c r="G978" s="11"/>
      <c r="K978" s="36"/>
      <c r="L978" s="36"/>
      <c r="M978" s="36"/>
    </row>
    <row r="979" spans="7:13" ht="15.75" customHeight="1">
      <c r="G979" s="11"/>
      <c r="K979" s="36"/>
      <c r="L979" s="36"/>
      <c r="M979" s="36"/>
    </row>
    <row r="980" spans="7:13" ht="15.75" customHeight="1">
      <c r="G980" s="11"/>
      <c r="K980" s="36"/>
      <c r="L980" s="36"/>
      <c r="M980" s="36"/>
    </row>
    <row r="981" spans="7:13" ht="15.75" customHeight="1">
      <c r="G981" s="11"/>
      <c r="K981" s="36"/>
      <c r="L981" s="36"/>
      <c r="M981" s="36"/>
    </row>
    <row r="982" spans="7:13" ht="15.75" customHeight="1">
      <c r="G982" s="11"/>
      <c r="K982" s="36"/>
      <c r="L982" s="36"/>
      <c r="M982" s="36"/>
    </row>
    <row r="983" spans="7:13" ht="15.75" customHeight="1">
      <c r="G983" s="11"/>
      <c r="K983" s="36"/>
      <c r="L983" s="36"/>
      <c r="M983" s="36"/>
    </row>
    <row r="984" spans="7:13" ht="15.75" customHeight="1">
      <c r="G984" s="11"/>
      <c r="K984" s="36"/>
      <c r="L984" s="36"/>
      <c r="M984" s="36"/>
    </row>
    <row r="985" spans="7:13" ht="15.75" customHeight="1">
      <c r="G985" s="11"/>
      <c r="K985" s="36"/>
      <c r="L985" s="36"/>
      <c r="M985" s="36"/>
    </row>
    <row r="986" spans="7:13" ht="15.75" customHeight="1">
      <c r="G986" s="11"/>
      <c r="K986" s="36"/>
      <c r="L986" s="36"/>
      <c r="M986" s="36"/>
    </row>
    <row r="987" spans="7:13" ht="15.75" customHeight="1">
      <c r="G987" s="11"/>
      <c r="K987" s="36"/>
      <c r="L987" s="36"/>
      <c r="M987" s="36"/>
    </row>
    <row r="988" spans="7:13" ht="15.75" customHeight="1">
      <c r="G988" s="11"/>
      <c r="K988" s="36"/>
      <c r="L988" s="36"/>
      <c r="M988" s="36"/>
    </row>
    <row r="989" spans="7:13" ht="15.75" customHeight="1">
      <c r="G989" s="11"/>
      <c r="K989" s="36"/>
      <c r="L989" s="36"/>
      <c r="M989" s="36"/>
    </row>
    <row r="990" spans="7:13" ht="15.75" customHeight="1">
      <c r="G990" s="11"/>
      <c r="K990" s="36"/>
      <c r="L990" s="36"/>
      <c r="M990" s="36"/>
    </row>
    <row r="991" spans="7:13" ht="15.75" customHeight="1">
      <c r="G991" s="11"/>
      <c r="K991" s="36"/>
      <c r="L991" s="36"/>
      <c r="M991" s="36"/>
    </row>
    <row r="992" spans="7:13" ht="15.75" customHeight="1">
      <c r="G992" s="11"/>
      <c r="K992" s="36"/>
      <c r="L992" s="36"/>
      <c r="M992" s="36"/>
    </row>
    <row r="993" spans="7:13" ht="15.75" customHeight="1">
      <c r="G993" s="11"/>
      <c r="K993" s="36"/>
      <c r="L993" s="36"/>
      <c r="M993" s="36"/>
    </row>
    <row r="994" spans="7:13" ht="15.75" customHeight="1">
      <c r="G994" s="11"/>
      <c r="K994" s="36"/>
      <c r="L994" s="36"/>
      <c r="M994" s="36"/>
    </row>
    <row r="995" spans="7:13" ht="15.75" customHeight="1">
      <c r="G995" s="11"/>
      <c r="K995" s="36"/>
      <c r="L995" s="36"/>
      <c r="M995" s="36"/>
    </row>
    <row r="996" spans="7:13" ht="15.75" customHeight="1">
      <c r="G996" s="11"/>
      <c r="K996" s="36"/>
      <c r="L996" s="36"/>
      <c r="M996" s="36"/>
    </row>
  </sheetData>
  <autoFilter ref="B23:E62" xr:uid="{00000000-0009-0000-0000-000005000000}">
    <sortState xmlns:xlrd2="http://schemas.microsoft.com/office/spreadsheetml/2017/richdata2" ref="B23:E62">
      <sortCondition ref="D23:D62"/>
    </sortState>
  </autoFilter>
  <mergeCells count="1">
    <mergeCell ref="K23:M23"/>
  </mergeCells>
  <conditionalFormatting sqref="K6:M13">
    <cfRule type="expression" dxfId="1" priority="1">
      <formula>#REF!=TRUE</formula>
    </cfRule>
  </conditionalFormatting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X996"/>
  <sheetViews>
    <sheetView topLeftCell="A22" workbookViewId="0">
      <selection activeCell="C64" sqref="C64"/>
    </sheetView>
  </sheetViews>
  <sheetFormatPr defaultColWidth="12.6328125" defaultRowHeight="15" customHeight="1"/>
  <cols>
    <col min="1" max="1" width="5.26953125" customWidth="1"/>
    <col min="2" max="2" width="9.7265625" customWidth="1"/>
    <col min="3" max="3" width="29.36328125" customWidth="1"/>
    <col min="4" max="4" width="18.6328125" customWidth="1"/>
    <col min="5" max="5" width="10.36328125" customWidth="1"/>
    <col min="6" max="6" width="16.6328125" customWidth="1"/>
    <col min="7" max="7" width="18.08984375" customWidth="1"/>
    <col min="8" max="8" width="13.26953125" customWidth="1"/>
    <col min="9" max="9" width="11.6328125" customWidth="1"/>
    <col min="10" max="10" width="7.26953125" customWidth="1"/>
    <col min="11" max="11" width="26.90625" customWidth="1"/>
    <col min="12" max="13" width="23.6328125" customWidth="1"/>
    <col min="14" max="14" width="26.26953125" customWidth="1"/>
    <col min="15" max="28" width="8.6328125" customWidth="1"/>
  </cols>
  <sheetData>
    <row r="1" spans="3:13" ht="14.5">
      <c r="G1" s="11"/>
      <c r="K1" s="36"/>
      <c r="L1" s="36"/>
      <c r="M1" s="36"/>
    </row>
    <row r="2" spans="3:13" ht="14.5">
      <c r="C2" s="10" t="s">
        <v>80</v>
      </c>
      <c r="D2" s="47">
        <v>12</v>
      </c>
      <c r="G2" s="11"/>
      <c r="K2" s="36"/>
      <c r="L2" s="36"/>
      <c r="M2" s="36"/>
    </row>
    <row r="3" spans="3:13" ht="14.5">
      <c r="C3" s="24" t="s">
        <v>81</v>
      </c>
      <c r="D3" s="47">
        <v>2025</v>
      </c>
      <c r="G3" s="11"/>
      <c r="K3" s="36"/>
      <c r="L3" s="36"/>
      <c r="M3" s="36"/>
    </row>
    <row r="4" spans="3:13" ht="14.5">
      <c r="C4" s="24" t="s">
        <v>82</v>
      </c>
      <c r="D4" s="47" t="str">
        <f>D3&amp;TEXT(D2, "00")</f>
        <v>202512</v>
      </c>
      <c r="G4" s="11"/>
      <c r="K4" s="36"/>
      <c r="L4" s="36"/>
      <c r="M4" s="36"/>
    </row>
    <row r="5" spans="3:13" ht="14.5">
      <c r="C5" s="10" t="s">
        <v>83</v>
      </c>
      <c r="D5" s="48">
        <v>2201.09</v>
      </c>
      <c r="G5" s="11"/>
      <c r="K5" s="24" t="s">
        <v>104</v>
      </c>
    </row>
    <row r="6" spans="3:13" ht="14.5">
      <c r="G6" s="11"/>
      <c r="K6" s="49" t="s">
        <v>38</v>
      </c>
      <c r="L6" s="33">
        <v>4</v>
      </c>
      <c r="M6" s="34">
        <v>353.71</v>
      </c>
    </row>
    <row r="7" spans="3:13" ht="14.5">
      <c r="G7" s="11"/>
      <c r="K7" s="49" t="s">
        <v>40</v>
      </c>
      <c r="L7" s="33">
        <v>15</v>
      </c>
      <c r="M7" s="34">
        <v>175</v>
      </c>
    </row>
    <row r="8" spans="3:13" ht="14.5">
      <c r="G8" s="11"/>
      <c r="K8" s="49" t="s">
        <v>19</v>
      </c>
      <c r="L8" s="50">
        <v>15</v>
      </c>
      <c r="M8" s="51">
        <v>120</v>
      </c>
    </row>
    <row r="9" spans="3:13" ht="14.5">
      <c r="G9" s="11"/>
      <c r="K9" s="49" t="s">
        <v>23</v>
      </c>
      <c r="L9" s="50">
        <v>15</v>
      </c>
      <c r="M9" s="51">
        <v>181.13</v>
      </c>
    </row>
    <row r="10" spans="3:13" ht="14.5">
      <c r="G10" s="11"/>
      <c r="K10" s="49" t="s">
        <v>43</v>
      </c>
      <c r="L10" s="33">
        <v>15</v>
      </c>
      <c r="M10" s="34">
        <v>82.37</v>
      </c>
    </row>
    <row r="11" spans="3:13" ht="14.5">
      <c r="G11" s="11"/>
      <c r="K11" s="49" t="s">
        <v>41</v>
      </c>
      <c r="L11" s="33">
        <v>18</v>
      </c>
      <c r="M11" s="34">
        <v>102.03</v>
      </c>
    </row>
    <row r="12" spans="3:13" ht="14.5">
      <c r="G12" s="11"/>
      <c r="K12" s="49" t="s">
        <v>76</v>
      </c>
      <c r="L12" s="33">
        <v>21</v>
      </c>
      <c r="M12" s="34">
        <v>595.67999999999995</v>
      </c>
    </row>
    <row r="13" spans="3:13" ht="14.5">
      <c r="G13" s="11"/>
      <c r="K13" s="49" t="s">
        <v>42</v>
      </c>
      <c r="L13" s="33">
        <v>27</v>
      </c>
      <c r="M13" s="34">
        <v>74.95</v>
      </c>
    </row>
    <row r="14" spans="3:13" ht="14.5">
      <c r="G14" s="11"/>
      <c r="K14" s="52" t="s">
        <v>105</v>
      </c>
      <c r="L14" s="53"/>
      <c r="M14" s="54"/>
    </row>
    <row r="15" spans="3:13" ht="14.5">
      <c r="G15" s="11"/>
      <c r="K15" s="55" t="s">
        <v>30</v>
      </c>
      <c r="L15" s="55">
        <v>1</v>
      </c>
      <c r="M15" s="56">
        <v>146.54</v>
      </c>
    </row>
    <row r="16" spans="3:13" ht="14.5">
      <c r="G16" s="11"/>
      <c r="K16" s="57" t="s">
        <v>35</v>
      </c>
      <c r="L16" s="57">
        <v>5</v>
      </c>
      <c r="M16" s="56">
        <v>10.64</v>
      </c>
    </row>
    <row r="17" spans="2:19" ht="14.5">
      <c r="G17" s="11"/>
      <c r="K17" s="58" t="s">
        <v>36</v>
      </c>
      <c r="L17" s="59">
        <v>16</v>
      </c>
      <c r="M17" s="60">
        <v>18</v>
      </c>
    </row>
    <row r="18" spans="2:19" ht="14.5">
      <c r="G18" s="11"/>
      <c r="K18" s="55" t="s">
        <v>31</v>
      </c>
      <c r="L18" s="55">
        <v>18</v>
      </c>
      <c r="M18" s="61">
        <v>33.159999999999997</v>
      </c>
    </row>
    <row r="19" spans="2:19" ht="14.5">
      <c r="G19" s="11"/>
      <c r="K19" s="55" t="s">
        <v>75</v>
      </c>
      <c r="L19" s="57">
        <v>15</v>
      </c>
      <c r="M19" s="61">
        <v>95.95</v>
      </c>
    </row>
    <row r="20" spans="2:19" ht="14.5">
      <c r="G20" s="11"/>
      <c r="K20" s="36"/>
      <c r="L20" s="36"/>
      <c r="M20" s="36"/>
    </row>
    <row r="21" spans="2:19" ht="14.5">
      <c r="G21" s="11"/>
      <c r="K21" s="36"/>
      <c r="L21" s="36"/>
      <c r="M21" s="36"/>
    </row>
    <row r="22" spans="2:19" ht="14.5">
      <c r="G22" s="11"/>
      <c r="K22" s="36"/>
      <c r="L22" s="36"/>
      <c r="M22" s="36"/>
    </row>
    <row r="23" spans="2:19" ht="15.75" customHeight="1">
      <c r="B23" s="24" t="s">
        <v>86</v>
      </c>
      <c r="C23" s="62" t="s">
        <v>4</v>
      </c>
      <c r="D23" s="62" t="s">
        <v>5</v>
      </c>
      <c r="E23" s="62" t="s">
        <v>6</v>
      </c>
      <c r="F23" s="62" t="s">
        <v>7</v>
      </c>
      <c r="G23" s="63" t="s">
        <v>8</v>
      </c>
      <c r="H23" s="62" t="s">
        <v>87</v>
      </c>
      <c r="J23" s="64"/>
      <c r="K23" s="108" t="s">
        <v>88</v>
      </c>
      <c r="L23" s="109"/>
      <c r="M23" s="109"/>
    </row>
    <row r="24" spans="2:19" ht="15.75" customHeight="1">
      <c r="B24" s="10" t="b">
        <v>0</v>
      </c>
      <c r="C24" s="90" t="s">
        <v>30</v>
      </c>
      <c r="D24" s="90">
        <v>1</v>
      </c>
      <c r="E24" s="91">
        <v>146.54</v>
      </c>
      <c r="F24" s="25">
        <f t="shared" ref="F24:F62" ca="1" si="0">IF($B24=TRUE, 0, IF(ISERROR(MATCH(C24, INDIRECT("'"&amp;$D$4&amp;"'!$B$8:$B$12"), 0)), -1*E24,E24))</f>
        <v>-146.54</v>
      </c>
      <c r="G24" s="11">
        <f t="shared" ref="G24:G62" si="1">DATE(2025, $D$2, $D24)</f>
        <v>45992</v>
      </c>
      <c r="H24" s="66">
        <f ca="1">$D$5+F24</f>
        <v>2054.5500000000002</v>
      </c>
      <c r="K24" s="67" t="s">
        <v>89</v>
      </c>
      <c r="L24" s="67" t="s">
        <v>90</v>
      </c>
      <c r="M24" s="67" t="s">
        <v>91</v>
      </c>
      <c r="N24" s="65"/>
      <c r="O24" s="68"/>
      <c r="P24" s="69"/>
    </row>
    <row r="25" spans="2:19" ht="15.75" customHeight="1">
      <c r="B25" s="10" t="b">
        <v>0</v>
      </c>
      <c r="C25" s="92" t="s">
        <v>35</v>
      </c>
      <c r="D25" s="92">
        <v>1</v>
      </c>
      <c r="E25" s="91">
        <v>10.64</v>
      </c>
      <c r="F25" s="25">
        <f t="shared" ca="1" si="0"/>
        <v>-10.64</v>
      </c>
      <c r="G25" s="11">
        <f t="shared" si="1"/>
        <v>45992</v>
      </c>
      <c r="H25" s="66">
        <f t="shared" ref="H25:H62" ca="1" si="2">H24+F25</f>
        <v>2043.91</v>
      </c>
      <c r="K25" s="70" t="s">
        <v>15</v>
      </c>
      <c r="L25" s="71">
        <v>7700</v>
      </c>
      <c r="M25" s="72">
        <v>0.21240000000000001</v>
      </c>
      <c r="N25" s="73"/>
      <c r="O25" s="74"/>
    </row>
    <row r="26" spans="2:19" ht="15.75" customHeight="1">
      <c r="B26" s="10" t="b">
        <v>0</v>
      </c>
      <c r="C26" s="90" t="s">
        <v>31</v>
      </c>
      <c r="D26" s="92">
        <v>1</v>
      </c>
      <c r="E26" s="93">
        <v>36.85</v>
      </c>
      <c r="F26" s="25">
        <f t="shared" ca="1" si="0"/>
        <v>-36.85</v>
      </c>
      <c r="G26" s="11">
        <f t="shared" si="1"/>
        <v>45992</v>
      </c>
      <c r="H26" s="66">
        <f t="shared" ca="1" si="2"/>
        <v>2007.0600000000002</v>
      </c>
      <c r="J26" s="10" t="b">
        <v>0</v>
      </c>
      <c r="K26" s="75">
        <v>1000</v>
      </c>
      <c r="L26" s="76">
        <f t="shared" ref="L26:L30" si="3">L25-K26</f>
        <v>6700</v>
      </c>
      <c r="M26" s="36"/>
      <c r="N26" s="77"/>
    </row>
    <row r="27" spans="2:19" ht="15.75" customHeight="1">
      <c r="B27" s="10" t="b">
        <v>0</v>
      </c>
      <c r="C27" s="94" t="s">
        <v>36</v>
      </c>
      <c r="D27" s="95">
        <v>1</v>
      </c>
      <c r="E27" s="96">
        <v>18</v>
      </c>
      <c r="F27" s="25">
        <f t="shared" ca="1" si="0"/>
        <v>-18</v>
      </c>
      <c r="G27" s="11">
        <f t="shared" si="1"/>
        <v>45992</v>
      </c>
      <c r="H27" s="66">
        <f t="shared" ca="1" si="2"/>
        <v>1989.0600000000002</v>
      </c>
      <c r="J27" s="10" t="b">
        <v>0</v>
      </c>
      <c r="K27" s="75">
        <v>1000</v>
      </c>
      <c r="L27" s="76">
        <f t="shared" si="3"/>
        <v>5700</v>
      </c>
      <c r="M27" s="36"/>
      <c r="Q27" s="78"/>
      <c r="R27" s="79"/>
    </row>
    <row r="28" spans="2:19" ht="15.75" customHeight="1">
      <c r="B28" s="10" t="b">
        <v>1</v>
      </c>
      <c r="C28" s="32" t="s">
        <v>38</v>
      </c>
      <c r="D28" s="97">
        <v>1</v>
      </c>
      <c r="E28" s="98">
        <v>353.71</v>
      </c>
      <c r="F28" s="25">
        <f t="shared" ca="1" si="0"/>
        <v>0</v>
      </c>
      <c r="G28" s="11">
        <f t="shared" si="1"/>
        <v>45992</v>
      </c>
      <c r="H28" s="66">
        <f t="shared" ca="1" si="2"/>
        <v>1989.0600000000002</v>
      </c>
      <c r="J28" s="10" t="b">
        <v>0</v>
      </c>
      <c r="K28" s="75">
        <v>1000</v>
      </c>
      <c r="L28" s="76">
        <f t="shared" si="3"/>
        <v>4700</v>
      </c>
      <c r="M28" s="36"/>
      <c r="N28" s="24"/>
      <c r="Q28" s="78"/>
      <c r="R28" s="79"/>
      <c r="S28" s="80"/>
    </row>
    <row r="29" spans="2:19" ht="15.75" customHeight="1">
      <c r="B29" s="10" t="b">
        <v>0</v>
      </c>
      <c r="C29" s="10" t="s">
        <v>26</v>
      </c>
      <c r="D29" s="24">
        <v>1</v>
      </c>
      <c r="E29" s="65">
        <v>264.88</v>
      </c>
      <c r="F29" s="25">
        <f t="shared" ca="1" si="0"/>
        <v>-264.88</v>
      </c>
      <c r="G29" s="11">
        <f t="shared" si="1"/>
        <v>45992</v>
      </c>
      <c r="H29" s="66">
        <f t="shared" ca="1" si="2"/>
        <v>1724.1800000000003</v>
      </c>
      <c r="J29" s="10" t="b">
        <v>0</v>
      </c>
      <c r="K29" s="75">
        <v>1000</v>
      </c>
      <c r="L29" s="76">
        <f t="shared" si="3"/>
        <v>3700</v>
      </c>
      <c r="M29" s="36"/>
      <c r="Q29" s="78"/>
      <c r="R29" s="79"/>
    </row>
    <row r="30" spans="2:19" ht="15.75" customHeight="1">
      <c r="B30" s="10" t="b">
        <v>0</v>
      </c>
      <c r="C30" s="10" t="s">
        <v>16</v>
      </c>
      <c r="D30" s="24">
        <v>4</v>
      </c>
      <c r="E30" s="65">
        <v>0</v>
      </c>
      <c r="F30" s="25">
        <f t="shared" ca="1" si="0"/>
        <v>0</v>
      </c>
      <c r="G30" s="11">
        <f t="shared" si="1"/>
        <v>45995</v>
      </c>
      <c r="H30" s="66">
        <f t="shared" ca="1" si="2"/>
        <v>1724.1800000000003</v>
      </c>
      <c r="J30" s="10" t="b">
        <v>0</v>
      </c>
      <c r="K30" s="75">
        <v>1000</v>
      </c>
      <c r="L30" s="76">
        <f t="shared" si="3"/>
        <v>2700</v>
      </c>
      <c r="M30" s="36"/>
      <c r="Q30" s="65"/>
      <c r="R30" s="73"/>
    </row>
    <row r="31" spans="2:19" ht="15.75" customHeight="1">
      <c r="B31" s="10" t="b">
        <v>0</v>
      </c>
      <c r="C31" s="10" t="s">
        <v>50</v>
      </c>
      <c r="D31" s="10">
        <v>6</v>
      </c>
      <c r="E31" s="25">
        <v>32.869999999999997</v>
      </c>
      <c r="F31" s="25">
        <f t="shared" ca="1" si="0"/>
        <v>-32.869999999999997</v>
      </c>
      <c r="G31" s="11">
        <f t="shared" si="1"/>
        <v>45997</v>
      </c>
      <c r="H31" s="66">
        <f t="shared" ca="1" si="2"/>
        <v>1691.3100000000004</v>
      </c>
      <c r="J31" s="24"/>
      <c r="K31" s="70" t="s">
        <v>20</v>
      </c>
      <c r="L31" s="71">
        <v>6246.15</v>
      </c>
      <c r="M31" s="72">
        <v>0</v>
      </c>
      <c r="N31" s="69" t="s">
        <v>92</v>
      </c>
      <c r="Q31" s="78"/>
      <c r="R31" s="79"/>
    </row>
    <row r="32" spans="2:19" ht="15.75" customHeight="1">
      <c r="B32" s="10" t="b">
        <v>0</v>
      </c>
      <c r="C32" s="10" t="s">
        <v>45</v>
      </c>
      <c r="D32" s="24">
        <v>7</v>
      </c>
      <c r="E32" s="65">
        <v>250</v>
      </c>
      <c r="F32" s="25">
        <f t="shared" ca="1" si="0"/>
        <v>-250</v>
      </c>
      <c r="G32" s="11">
        <f t="shared" si="1"/>
        <v>45998</v>
      </c>
      <c r="H32" s="66">
        <f t="shared" ca="1" si="2"/>
        <v>1441.3100000000004</v>
      </c>
      <c r="J32" s="10" t="b">
        <v>0</v>
      </c>
      <c r="K32" s="81">
        <v>1000</v>
      </c>
      <c r="L32" s="76">
        <f t="shared" ref="L32:L38" si="4">L31-K32</f>
        <v>5246.15</v>
      </c>
      <c r="M32" s="36"/>
      <c r="Q32" s="65"/>
      <c r="R32" s="73"/>
    </row>
    <row r="33" spans="2:24" ht="15.75" customHeight="1">
      <c r="B33" s="10" t="b">
        <v>0</v>
      </c>
      <c r="C33" s="10" t="s">
        <v>33</v>
      </c>
      <c r="D33" s="10">
        <v>10</v>
      </c>
      <c r="E33" s="25">
        <v>80</v>
      </c>
      <c r="F33" s="25">
        <f t="shared" ca="1" si="0"/>
        <v>-80</v>
      </c>
      <c r="G33" s="11">
        <f t="shared" si="1"/>
        <v>46001</v>
      </c>
      <c r="H33" s="66">
        <f t="shared" ca="1" si="2"/>
        <v>1361.3100000000004</v>
      </c>
      <c r="J33" s="10" t="b">
        <v>0</v>
      </c>
      <c r="K33" s="81">
        <v>1000</v>
      </c>
      <c r="L33" s="76">
        <f t="shared" si="4"/>
        <v>4246.1499999999996</v>
      </c>
      <c r="M33" s="36"/>
      <c r="Q33" s="65"/>
      <c r="R33" s="73"/>
    </row>
    <row r="34" spans="2:24" ht="15.75" customHeight="1">
      <c r="B34" s="10" t="b">
        <v>0</v>
      </c>
      <c r="C34" s="10" t="s">
        <v>20</v>
      </c>
      <c r="D34" s="24">
        <v>13</v>
      </c>
      <c r="E34" s="65">
        <v>62</v>
      </c>
      <c r="F34" s="25">
        <f t="shared" ca="1" si="0"/>
        <v>-62</v>
      </c>
      <c r="G34" s="11">
        <f t="shared" si="1"/>
        <v>46004</v>
      </c>
      <c r="H34" s="66">
        <f t="shared" ca="1" si="2"/>
        <v>1299.3100000000004</v>
      </c>
      <c r="J34" s="10" t="b">
        <v>0</v>
      </c>
      <c r="K34" s="81">
        <v>1000</v>
      </c>
      <c r="L34" s="76">
        <f t="shared" si="4"/>
        <v>3246.1499999999996</v>
      </c>
      <c r="M34" s="36"/>
      <c r="Q34" s="24"/>
      <c r="V34" s="65"/>
      <c r="W34" s="65"/>
      <c r="X34" s="74"/>
    </row>
    <row r="35" spans="2:24" ht="15.75" customHeight="1">
      <c r="B35" s="10" t="b">
        <v>0</v>
      </c>
      <c r="C35" s="99" t="s">
        <v>9</v>
      </c>
      <c r="D35" s="99">
        <v>14</v>
      </c>
      <c r="E35" s="100">
        <v>-3205.07</v>
      </c>
      <c r="F35" s="25">
        <f t="shared" ca="1" si="0"/>
        <v>3205.07</v>
      </c>
      <c r="G35" s="11">
        <f t="shared" si="1"/>
        <v>46005</v>
      </c>
      <c r="H35" s="66">
        <f t="shared" ca="1" si="2"/>
        <v>4504.380000000001</v>
      </c>
      <c r="J35" s="10" t="b">
        <v>0</v>
      </c>
      <c r="K35" s="81">
        <v>1000</v>
      </c>
      <c r="L35" s="76">
        <f t="shared" si="4"/>
        <v>2246.1499999999996</v>
      </c>
      <c r="M35" s="36"/>
      <c r="Q35" s="24"/>
      <c r="X35" s="74"/>
    </row>
    <row r="36" spans="2:24" ht="15.75" customHeight="1">
      <c r="B36" s="10" t="b">
        <v>0</v>
      </c>
      <c r="C36" s="10" t="s">
        <v>45</v>
      </c>
      <c r="D36" s="24">
        <v>14</v>
      </c>
      <c r="E36" s="65">
        <v>250</v>
      </c>
      <c r="F36" s="25">
        <f t="shared" ca="1" si="0"/>
        <v>-250</v>
      </c>
      <c r="G36" s="11">
        <f t="shared" si="1"/>
        <v>46005</v>
      </c>
      <c r="H36" s="66">
        <f t="shared" ca="1" si="2"/>
        <v>4254.380000000001</v>
      </c>
      <c r="J36" s="10" t="b">
        <v>0</v>
      </c>
      <c r="K36" s="81">
        <v>1000</v>
      </c>
      <c r="L36" s="76">
        <f t="shared" si="4"/>
        <v>1246.1499999999996</v>
      </c>
      <c r="M36" s="36"/>
      <c r="V36" s="65"/>
      <c r="W36" s="65"/>
      <c r="X36" s="74"/>
    </row>
    <row r="37" spans="2:24" ht="15.75" customHeight="1">
      <c r="B37" s="10" t="b">
        <v>0</v>
      </c>
      <c r="C37" s="10" t="s">
        <v>51</v>
      </c>
      <c r="D37" s="24">
        <v>14</v>
      </c>
      <c r="E37" s="25">
        <v>105.29</v>
      </c>
      <c r="F37" s="25">
        <f t="shared" ca="1" si="0"/>
        <v>-105.29</v>
      </c>
      <c r="G37" s="11">
        <f t="shared" si="1"/>
        <v>46005</v>
      </c>
      <c r="H37" s="66">
        <f t="shared" ca="1" si="2"/>
        <v>4149.0900000000011</v>
      </c>
      <c r="K37" s="81">
        <v>1000</v>
      </c>
      <c r="L37" s="76">
        <f t="shared" si="4"/>
        <v>246.14999999999964</v>
      </c>
      <c r="X37" s="74"/>
    </row>
    <row r="38" spans="2:24" ht="15.75" customHeight="1">
      <c r="B38" s="10" t="b">
        <v>0</v>
      </c>
      <c r="C38" s="10" t="s">
        <v>53</v>
      </c>
      <c r="D38" s="10">
        <v>14</v>
      </c>
      <c r="E38" s="25">
        <v>14.99</v>
      </c>
      <c r="F38" s="25">
        <f t="shared" ca="1" si="0"/>
        <v>-14.99</v>
      </c>
      <c r="G38" s="11">
        <f t="shared" si="1"/>
        <v>46005</v>
      </c>
      <c r="H38" s="66">
        <f t="shared" ca="1" si="2"/>
        <v>4134.1000000000013</v>
      </c>
      <c r="K38" s="81">
        <f>L37</f>
        <v>246.14999999999964</v>
      </c>
      <c r="L38" s="76">
        <f t="shared" si="4"/>
        <v>0</v>
      </c>
    </row>
    <row r="39" spans="2:24" ht="15.75" customHeight="1">
      <c r="B39" s="10" t="b">
        <v>0</v>
      </c>
      <c r="C39" s="32" t="s">
        <v>19</v>
      </c>
      <c r="D39" s="32">
        <v>14</v>
      </c>
      <c r="E39" s="98">
        <v>120</v>
      </c>
      <c r="F39" s="25">
        <f t="shared" ca="1" si="0"/>
        <v>-120</v>
      </c>
      <c r="G39" s="11">
        <f t="shared" si="1"/>
        <v>46005</v>
      </c>
      <c r="H39" s="66">
        <f t="shared" ca="1" si="2"/>
        <v>4014.1000000000013</v>
      </c>
      <c r="K39" s="82" t="s">
        <v>19</v>
      </c>
      <c r="L39" s="71">
        <v>11685.1</v>
      </c>
      <c r="M39" s="72">
        <v>0</v>
      </c>
      <c r="N39" s="69" t="s">
        <v>93</v>
      </c>
    </row>
    <row r="40" spans="2:24" ht="15.75" customHeight="1">
      <c r="B40" s="10" t="b">
        <v>0</v>
      </c>
      <c r="C40" s="32" t="s">
        <v>23</v>
      </c>
      <c r="D40" s="32">
        <v>14</v>
      </c>
      <c r="E40" s="98">
        <v>181.13</v>
      </c>
      <c r="F40" s="25">
        <f t="shared" ca="1" si="0"/>
        <v>-181.13</v>
      </c>
      <c r="G40" s="11">
        <f t="shared" si="1"/>
        <v>46005</v>
      </c>
      <c r="H40" s="66">
        <f t="shared" ca="1" si="2"/>
        <v>3832.9700000000012</v>
      </c>
      <c r="J40" s="10" t="b">
        <v>0</v>
      </c>
      <c r="K40" s="75">
        <v>1000</v>
      </c>
      <c r="L40" s="76">
        <f t="shared" ref="L40:L45" si="5">L39-K40</f>
        <v>10685.1</v>
      </c>
    </row>
    <row r="41" spans="2:24" ht="15.75" customHeight="1">
      <c r="B41" s="10" t="b">
        <v>0</v>
      </c>
      <c r="C41" s="97" t="s">
        <v>40</v>
      </c>
      <c r="D41" s="32">
        <v>14</v>
      </c>
      <c r="E41" s="101">
        <v>175</v>
      </c>
      <c r="F41" s="25">
        <f t="shared" ca="1" si="0"/>
        <v>-175</v>
      </c>
      <c r="G41" s="11">
        <f t="shared" si="1"/>
        <v>46005</v>
      </c>
      <c r="H41" s="66">
        <f t="shared" ca="1" si="2"/>
        <v>3657.9700000000012</v>
      </c>
      <c r="J41" s="10" t="b">
        <v>0</v>
      </c>
      <c r="K41" s="75">
        <v>1000</v>
      </c>
      <c r="L41" s="76">
        <f t="shared" si="5"/>
        <v>9685.1</v>
      </c>
    </row>
    <row r="42" spans="2:24" ht="15.75" customHeight="1">
      <c r="B42" s="10" t="b">
        <v>0</v>
      </c>
      <c r="C42" s="102" t="s">
        <v>41</v>
      </c>
      <c r="D42" s="32">
        <v>14</v>
      </c>
      <c r="E42" s="103">
        <v>143.35</v>
      </c>
      <c r="F42" s="25">
        <f t="shared" ca="1" si="0"/>
        <v>-143.35</v>
      </c>
      <c r="G42" s="11">
        <f t="shared" si="1"/>
        <v>46005</v>
      </c>
      <c r="H42" s="66">
        <f t="shared" ca="1" si="2"/>
        <v>3514.6200000000013</v>
      </c>
      <c r="J42" s="10" t="b">
        <v>0</v>
      </c>
      <c r="K42" s="75">
        <v>1000</v>
      </c>
      <c r="L42" s="76">
        <f t="shared" si="5"/>
        <v>8685.1</v>
      </c>
      <c r="M42" s="85"/>
    </row>
    <row r="43" spans="2:24" ht="15.75" customHeight="1">
      <c r="B43" s="10" t="b">
        <v>0</v>
      </c>
      <c r="C43" s="90" t="s">
        <v>75</v>
      </c>
      <c r="D43" s="90">
        <v>14</v>
      </c>
      <c r="E43" s="93">
        <v>729.29</v>
      </c>
      <c r="F43" s="25">
        <f t="shared" ca="1" si="0"/>
        <v>-729.29</v>
      </c>
      <c r="G43" s="11">
        <f t="shared" si="1"/>
        <v>46005</v>
      </c>
      <c r="H43" s="66">
        <f t="shared" ca="1" si="2"/>
        <v>2785.3300000000013</v>
      </c>
      <c r="J43" s="10" t="b">
        <v>0</v>
      </c>
      <c r="K43" s="75">
        <v>1000</v>
      </c>
      <c r="L43" s="76">
        <f t="shared" si="5"/>
        <v>7685.1</v>
      </c>
    </row>
    <row r="44" spans="2:24" ht="14.5">
      <c r="B44" s="10" t="b">
        <v>0</v>
      </c>
      <c r="C44" s="32" t="s">
        <v>42</v>
      </c>
      <c r="D44" s="32">
        <v>14</v>
      </c>
      <c r="E44" s="98">
        <v>74.95</v>
      </c>
      <c r="F44" s="25">
        <f t="shared" ca="1" si="0"/>
        <v>-74.95</v>
      </c>
      <c r="G44" s="11">
        <f t="shared" si="1"/>
        <v>46005</v>
      </c>
      <c r="H44" s="66">
        <f t="shared" ca="1" si="2"/>
        <v>2710.3800000000015</v>
      </c>
      <c r="J44" s="10" t="b">
        <v>0</v>
      </c>
      <c r="K44" s="75">
        <v>1000</v>
      </c>
      <c r="L44" s="76">
        <f t="shared" si="5"/>
        <v>6685.1</v>
      </c>
      <c r="M44" s="36"/>
    </row>
    <row r="45" spans="2:24" ht="15.75" customHeight="1">
      <c r="B45" s="10" t="b">
        <v>0</v>
      </c>
      <c r="C45" s="32" t="s">
        <v>43</v>
      </c>
      <c r="D45" s="32">
        <v>14</v>
      </c>
      <c r="E45" s="101">
        <v>82.37</v>
      </c>
      <c r="F45" s="25">
        <f t="shared" ca="1" si="0"/>
        <v>-82.37</v>
      </c>
      <c r="G45" s="11">
        <f t="shared" si="1"/>
        <v>46005</v>
      </c>
      <c r="H45" s="66">
        <f t="shared" ca="1" si="2"/>
        <v>2628.0100000000016</v>
      </c>
      <c r="J45" s="10" t="b">
        <v>0</v>
      </c>
      <c r="K45" s="75">
        <v>1000</v>
      </c>
      <c r="L45" s="76">
        <f t="shared" si="5"/>
        <v>5685.1</v>
      </c>
      <c r="M45" s="85"/>
    </row>
    <row r="46" spans="2:24" ht="15.75" customHeight="1">
      <c r="B46" s="10" t="b">
        <v>0</v>
      </c>
      <c r="C46" s="20" t="s">
        <v>56</v>
      </c>
      <c r="D46" s="83">
        <v>14</v>
      </c>
      <c r="E46" s="66">
        <v>14.14</v>
      </c>
      <c r="F46" s="25">
        <f t="shared" ca="1" si="0"/>
        <v>-14.14</v>
      </c>
      <c r="G46" s="11">
        <f t="shared" si="1"/>
        <v>46005</v>
      </c>
      <c r="H46" s="66">
        <f t="shared" ca="1" si="2"/>
        <v>2613.8700000000017</v>
      </c>
      <c r="K46" s="82" t="s">
        <v>23</v>
      </c>
      <c r="L46" s="71">
        <v>3877.83</v>
      </c>
      <c r="M46" s="72">
        <v>0.1888</v>
      </c>
    </row>
    <row r="47" spans="2:24" ht="15.75" customHeight="1">
      <c r="B47" s="10" t="b">
        <v>0</v>
      </c>
      <c r="C47" s="32" t="s">
        <v>76</v>
      </c>
      <c r="D47" s="97">
        <v>14</v>
      </c>
      <c r="E47" s="101">
        <v>595.67999999999995</v>
      </c>
      <c r="F47" s="25">
        <f t="shared" ca="1" si="0"/>
        <v>-595.67999999999995</v>
      </c>
      <c r="G47" s="11">
        <f t="shared" si="1"/>
        <v>46005</v>
      </c>
      <c r="H47" s="66">
        <f t="shared" ca="1" si="2"/>
        <v>2018.1900000000019</v>
      </c>
      <c r="J47" s="10" t="b">
        <v>0</v>
      </c>
      <c r="K47" s="75">
        <v>1000</v>
      </c>
      <c r="L47" s="76">
        <f t="shared" ref="L47:L50" si="6">L46-K47</f>
        <v>2877.83</v>
      </c>
      <c r="M47" s="36"/>
    </row>
    <row r="48" spans="2:24" ht="15.75" customHeight="1">
      <c r="B48" s="10" t="b">
        <v>0</v>
      </c>
      <c r="C48" s="86" t="s">
        <v>101</v>
      </c>
      <c r="D48" s="86">
        <v>15</v>
      </c>
      <c r="E48" s="104">
        <v>400</v>
      </c>
      <c r="F48" s="25">
        <f t="shared" ca="1" si="0"/>
        <v>-400</v>
      </c>
      <c r="G48" s="11">
        <f t="shared" si="1"/>
        <v>46006</v>
      </c>
      <c r="H48" s="66">
        <f t="shared" ca="1" si="2"/>
        <v>1618.1900000000019</v>
      </c>
      <c r="J48" s="10" t="b">
        <v>0</v>
      </c>
      <c r="K48" s="75">
        <v>1000</v>
      </c>
      <c r="L48" s="76">
        <f t="shared" si="6"/>
        <v>1877.83</v>
      </c>
      <c r="M48" s="85"/>
    </row>
    <row r="49" spans="2:14" ht="15.75" customHeight="1">
      <c r="B49" s="10" t="b">
        <v>0</v>
      </c>
      <c r="C49" s="86" t="s">
        <v>102</v>
      </c>
      <c r="D49" s="86">
        <v>15</v>
      </c>
      <c r="E49" s="104">
        <v>500</v>
      </c>
      <c r="F49" s="25">
        <f t="shared" ca="1" si="0"/>
        <v>-500</v>
      </c>
      <c r="G49" s="11">
        <f t="shared" si="1"/>
        <v>46006</v>
      </c>
      <c r="H49" s="66">
        <f t="shared" ca="1" si="2"/>
        <v>1118.1900000000019</v>
      </c>
      <c r="J49" s="10" t="b">
        <v>0</v>
      </c>
      <c r="K49" s="75">
        <v>1000</v>
      </c>
      <c r="L49" s="76">
        <f t="shared" si="6"/>
        <v>877.82999999999993</v>
      </c>
    </row>
    <row r="50" spans="2:14" ht="15.75" customHeight="1">
      <c r="B50" s="10" t="b">
        <v>0</v>
      </c>
      <c r="C50" s="86" t="s">
        <v>96</v>
      </c>
      <c r="D50" s="86">
        <v>15</v>
      </c>
      <c r="E50" s="104">
        <v>500</v>
      </c>
      <c r="F50" s="25">
        <f t="shared" ca="1" si="0"/>
        <v>-500</v>
      </c>
      <c r="G50" s="11">
        <f t="shared" si="1"/>
        <v>46006</v>
      </c>
      <c r="H50" s="66">
        <f t="shared" ca="1" si="2"/>
        <v>618.19000000000187</v>
      </c>
      <c r="J50" s="10" t="b">
        <v>0</v>
      </c>
      <c r="K50" s="75">
        <v>877.83</v>
      </c>
      <c r="L50" s="76">
        <f t="shared" si="6"/>
        <v>0</v>
      </c>
      <c r="M50" s="36"/>
    </row>
    <row r="51" spans="2:14" ht="15.75" customHeight="1">
      <c r="B51" s="10" t="b">
        <v>0</v>
      </c>
      <c r="C51" s="10" t="s">
        <v>46</v>
      </c>
      <c r="D51" s="24">
        <v>16</v>
      </c>
      <c r="E51" s="25">
        <v>30</v>
      </c>
      <c r="F51" s="25">
        <f t="shared" ca="1" si="0"/>
        <v>-30</v>
      </c>
      <c r="G51" s="11">
        <f t="shared" si="1"/>
        <v>46007</v>
      </c>
      <c r="H51" s="66">
        <f t="shared" ca="1" si="2"/>
        <v>588.19000000000187</v>
      </c>
      <c r="K51" s="54"/>
      <c r="L51" s="54"/>
      <c r="M51" s="87"/>
      <c r="N51" s="38"/>
    </row>
    <row r="52" spans="2:14" ht="15.75" customHeight="1">
      <c r="B52" s="10" t="b">
        <v>0</v>
      </c>
      <c r="C52" s="10" t="s">
        <v>47</v>
      </c>
      <c r="D52" s="10">
        <v>16</v>
      </c>
      <c r="E52" s="65">
        <v>50</v>
      </c>
      <c r="F52" s="25">
        <f t="shared" ca="1" si="0"/>
        <v>-50</v>
      </c>
      <c r="G52" s="11">
        <f t="shared" si="1"/>
        <v>46007</v>
      </c>
      <c r="H52" s="66">
        <f t="shared" ca="1" si="2"/>
        <v>538.19000000000187</v>
      </c>
      <c r="K52" s="76"/>
      <c r="L52" s="85"/>
      <c r="M52" s="85"/>
    </row>
    <row r="53" spans="2:14" ht="15.75" customHeight="1">
      <c r="B53" s="10" t="b">
        <v>0</v>
      </c>
      <c r="C53" s="10" t="s">
        <v>59</v>
      </c>
      <c r="D53" s="10">
        <v>16</v>
      </c>
      <c r="E53" s="25">
        <v>20.2</v>
      </c>
      <c r="F53" s="25">
        <f t="shared" ca="1" si="0"/>
        <v>-20.2</v>
      </c>
      <c r="G53" s="11">
        <f t="shared" si="1"/>
        <v>46007</v>
      </c>
      <c r="H53" s="66">
        <f t="shared" ca="1" si="2"/>
        <v>517.99000000000183</v>
      </c>
      <c r="K53" s="76"/>
      <c r="L53" s="85"/>
      <c r="M53" s="85"/>
    </row>
    <row r="54" spans="2:14" ht="15.75" customHeight="1">
      <c r="B54" s="10" t="b">
        <v>0</v>
      </c>
      <c r="C54" s="10" t="s">
        <v>45</v>
      </c>
      <c r="D54" s="24">
        <v>21</v>
      </c>
      <c r="E54" s="65">
        <v>250</v>
      </c>
      <c r="F54" s="25">
        <f t="shared" ca="1" si="0"/>
        <v>-250</v>
      </c>
      <c r="G54" s="11">
        <f t="shared" si="1"/>
        <v>46012</v>
      </c>
      <c r="H54" s="66">
        <f t="shared" ca="1" si="2"/>
        <v>267.99000000000183</v>
      </c>
      <c r="K54" s="76"/>
      <c r="L54" s="85"/>
      <c r="M54" s="85"/>
    </row>
    <row r="55" spans="2:14" ht="15.75" customHeight="1">
      <c r="B55" s="10" t="b">
        <v>0</v>
      </c>
      <c r="C55" s="10" t="s">
        <v>57</v>
      </c>
      <c r="D55" s="10">
        <v>23</v>
      </c>
      <c r="E55" s="25">
        <v>19.3</v>
      </c>
      <c r="F55" s="25">
        <f t="shared" ca="1" si="0"/>
        <v>-19.3</v>
      </c>
      <c r="G55" s="11">
        <f t="shared" si="1"/>
        <v>46014</v>
      </c>
      <c r="H55" s="66">
        <f t="shared" ca="1" si="2"/>
        <v>248.69000000000182</v>
      </c>
      <c r="K55" s="76"/>
      <c r="L55" s="85"/>
      <c r="M55" s="85"/>
    </row>
    <row r="56" spans="2:14" ht="15.75" customHeight="1">
      <c r="B56" s="10" t="b">
        <v>0</v>
      </c>
      <c r="C56" s="99" t="s">
        <v>103</v>
      </c>
      <c r="D56" s="99">
        <v>24</v>
      </c>
      <c r="E56" s="100">
        <v>-500</v>
      </c>
      <c r="F56" s="25">
        <f t="shared" ca="1" si="0"/>
        <v>500</v>
      </c>
      <c r="G56" s="11">
        <f t="shared" si="1"/>
        <v>46015</v>
      </c>
      <c r="H56" s="66">
        <f t="shared" ca="1" si="2"/>
        <v>748.69000000000187</v>
      </c>
      <c r="K56" s="76"/>
      <c r="L56" s="85"/>
      <c r="M56" s="85"/>
    </row>
    <row r="57" spans="2:14" ht="15.75" customHeight="1">
      <c r="B57" s="10" t="b">
        <v>0</v>
      </c>
      <c r="C57" s="10" t="s">
        <v>33</v>
      </c>
      <c r="D57" s="10">
        <v>24</v>
      </c>
      <c r="E57" s="25">
        <v>80</v>
      </c>
      <c r="F57" s="25">
        <f t="shared" ca="1" si="0"/>
        <v>-80</v>
      </c>
      <c r="G57" s="11">
        <f t="shared" si="1"/>
        <v>46015</v>
      </c>
      <c r="H57" s="66">
        <f t="shared" ca="1" si="2"/>
        <v>668.69000000000187</v>
      </c>
      <c r="K57" s="76"/>
      <c r="L57" s="85"/>
      <c r="M57" s="85"/>
    </row>
    <row r="58" spans="2:14" ht="15.75" customHeight="1">
      <c r="B58" s="10" t="b">
        <v>0</v>
      </c>
      <c r="C58" s="20" t="s">
        <v>49</v>
      </c>
      <c r="D58" s="20">
        <v>24</v>
      </c>
      <c r="E58" s="66">
        <v>22.23</v>
      </c>
      <c r="F58" s="25">
        <f t="shared" ca="1" si="0"/>
        <v>-22.23</v>
      </c>
      <c r="G58" s="11">
        <f t="shared" si="1"/>
        <v>46015</v>
      </c>
      <c r="H58" s="66">
        <f t="shared" ca="1" si="2"/>
        <v>646.46000000000186</v>
      </c>
      <c r="K58" s="76"/>
      <c r="L58" s="85"/>
      <c r="M58" s="85"/>
    </row>
    <row r="59" spans="2:14" ht="15.75" customHeight="1">
      <c r="B59" s="10" t="b">
        <v>0</v>
      </c>
      <c r="C59" s="10" t="s">
        <v>45</v>
      </c>
      <c r="D59" s="24">
        <v>28</v>
      </c>
      <c r="E59" s="25">
        <v>250</v>
      </c>
      <c r="F59" s="25">
        <f t="shared" ca="1" si="0"/>
        <v>-250</v>
      </c>
      <c r="G59" s="11">
        <f t="shared" si="1"/>
        <v>46019</v>
      </c>
      <c r="H59" s="66">
        <f t="shared" ca="1" si="2"/>
        <v>396.46000000000186</v>
      </c>
      <c r="K59" s="76"/>
      <c r="L59" s="85"/>
      <c r="M59" s="85"/>
    </row>
    <row r="60" spans="2:14" ht="15.75" customHeight="1">
      <c r="B60" s="10" t="b">
        <v>0</v>
      </c>
      <c r="C60" s="10" t="s">
        <v>51</v>
      </c>
      <c r="D60" s="24">
        <v>28</v>
      </c>
      <c r="E60" s="25">
        <v>105.29</v>
      </c>
      <c r="F60" s="25">
        <f t="shared" ca="1" si="0"/>
        <v>-105.29</v>
      </c>
      <c r="G60" s="11">
        <f t="shared" si="1"/>
        <v>46019</v>
      </c>
      <c r="H60" s="66">
        <f t="shared" ca="1" si="2"/>
        <v>291.17000000000183</v>
      </c>
      <c r="J60" s="25"/>
      <c r="K60" s="85"/>
      <c r="L60" s="36"/>
      <c r="M60" s="36"/>
    </row>
    <row r="61" spans="2:14" ht="15.75" customHeight="1">
      <c r="B61" s="10" t="b">
        <v>0</v>
      </c>
      <c r="C61" s="99" t="s">
        <v>9</v>
      </c>
      <c r="D61" s="99">
        <v>31</v>
      </c>
      <c r="E61" s="100">
        <v>-3205.07</v>
      </c>
      <c r="F61" s="25">
        <f t="shared" ca="1" si="0"/>
        <v>3205.07</v>
      </c>
      <c r="G61" s="11">
        <f t="shared" si="1"/>
        <v>46022</v>
      </c>
      <c r="H61" s="66">
        <f t="shared" ca="1" si="2"/>
        <v>3496.2400000000021</v>
      </c>
      <c r="J61" s="25"/>
      <c r="K61" s="85"/>
      <c r="L61" s="36"/>
      <c r="M61" s="36"/>
    </row>
    <row r="62" spans="2:14" ht="15.75" customHeight="1">
      <c r="B62" s="10" t="b">
        <v>0</v>
      </c>
      <c r="C62" s="10" t="s">
        <v>23</v>
      </c>
      <c r="D62" s="24">
        <v>31</v>
      </c>
      <c r="E62" s="65">
        <v>1000</v>
      </c>
      <c r="F62" s="25">
        <f t="shared" ca="1" si="0"/>
        <v>-1000</v>
      </c>
      <c r="G62" s="11">
        <f t="shared" si="1"/>
        <v>46022</v>
      </c>
      <c r="H62" s="66">
        <f t="shared" ca="1" si="2"/>
        <v>2496.2400000000021</v>
      </c>
      <c r="J62" s="25"/>
      <c r="K62" s="85"/>
      <c r="L62" s="36"/>
      <c r="M62" s="36"/>
    </row>
    <row r="63" spans="2:14" ht="15.75" customHeight="1">
      <c r="C63" s="20"/>
      <c r="D63" s="20"/>
      <c r="E63" s="20"/>
      <c r="F63" s="25"/>
      <c r="G63" s="11"/>
      <c r="H63" s="89"/>
      <c r="J63" s="25"/>
      <c r="K63" s="85"/>
      <c r="L63" s="36"/>
      <c r="M63" s="36"/>
    </row>
    <row r="64" spans="2:14" ht="15.75" customHeight="1">
      <c r="D64" s="24"/>
      <c r="E64" s="84"/>
      <c r="F64" s="25"/>
      <c r="G64" s="11"/>
      <c r="H64" s="89"/>
      <c r="K64" s="36"/>
      <c r="L64" s="36"/>
      <c r="M64" s="36"/>
    </row>
    <row r="65" spans="5:13" ht="15.75" customHeight="1">
      <c r="E65" s="24"/>
      <c r="F65" s="25"/>
      <c r="G65" s="11"/>
      <c r="H65" s="89"/>
      <c r="K65" s="36"/>
      <c r="L65" s="36"/>
      <c r="M65" s="36"/>
    </row>
    <row r="66" spans="5:13" ht="15.75" customHeight="1">
      <c r="F66" s="25"/>
      <c r="G66" s="11"/>
      <c r="H66" s="89"/>
      <c r="K66" s="36"/>
      <c r="L66" s="36"/>
      <c r="M66" s="36"/>
    </row>
    <row r="67" spans="5:13" ht="15.75" customHeight="1">
      <c r="F67" s="25"/>
      <c r="G67" s="11"/>
      <c r="H67" s="89"/>
      <c r="K67" s="36"/>
      <c r="L67" s="36"/>
      <c r="M67" s="36"/>
    </row>
    <row r="68" spans="5:13" ht="15.75" customHeight="1">
      <c r="G68" s="11"/>
      <c r="K68" s="36"/>
      <c r="L68" s="36"/>
      <c r="M68" s="36"/>
    </row>
    <row r="69" spans="5:13" ht="15.75" customHeight="1">
      <c r="G69" s="11"/>
      <c r="K69" s="36"/>
      <c r="L69" s="36"/>
      <c r="M69" s="36"/>
    </row>
    <row r="70" spans="5:13" ht="15.75" customHeight="1">
      <c r="G70" s="11"/>
      <c r="K70" s="36"/>
      <c r="L70" s="36"/>
      <c r="M70" s="36"/>
    </row>
    <row r="71" spans="5:13" ht="15.75" customHeight="1">
      <c r="G71" s="11"/>
      <c r="K71" s="36"/>
      <c r="L71" s="36"/>
      <c r="M71" s="36"/>
    </row>
    <row r="72" spans="5:13" ht="15.75" customHeight="1">
      <c r="G72" s="11"/>
      <c r="K72" s="36"/>
      <c r="L72" s="36"/>
      <c r="M72" s="36"/>
    </row>
    <row r="73" spans="5:13" ht="15.75" customHeight="1">
      <c r="G73" s="11"/>
      <c r="K73" s="36"/>
      <c r="L73" s="36"/>
      <c r="M73" s="36"/>
    </row>
    <row r="74" spans="5:13" ht="15.75" customHeight="1">
      <c r="G74" s="11"/>
      <c r="K74" s="36"/>
      <c r="L74" s="36"/>
      <c r="M74" s="36"/>
    </row>
    <row r="75" spans="5:13" ht="15.75" customHeight="1">
      <c r="G75" s="11"/>
      <c r="K75" s="36"/>
      <c r="L75" s="36"/>
      <c r="M75" s="36"/>
    </row>
    <row r="76" spans="5:13" ht="15.75" customHeight="1">
      <c r="G76" s="11"/>
      <c r="K76" s="36"/>
      <c r="L76" s="36"/>
      <c r="M76" s="36"/>
    </row>
    <row r="77" spans="5:13" ht="15.75" customHeight="1">
      <c r="G77" s="11"/>
      <c r="K77" s="36"/>
      <c r="L77" s="36"/>
      <c r="M77" s="36"/>
    </row>
    <row r="78" spans="5:13" ht="15.75" customHeight="1">
      <c r="G78" s="11"/>
      <c r="K78" s="36"/>
      <c r="L78" s="36"/>
      <c r="M78" s="36"/>
    </row>
    <row r="79" spans="5:13" ht="15.75" customHeight="1">
      <c r="G79" s="11"/>
      <c r="K79" s="36"/>
      <c r="L79" s="36"/>
      <c r="M79" s="36"/>
    </row>
    <row r="80" spans="5:13" ht="15.75" customHeight="1">
      <c r="G80" s="11"/>
      <c r="K80" s="36"/>
      <c r="L80" s="36"/>
      <c r="M80" s="36"/>
    </row>
    <row r="81" spans="7:13" ht="15.75" customHeight="1">
      <c r="G81" s="11"/>
      <c r="K81" s="36"/>
      <c r="L81" s="36"/>
      <c r="M81" s="36"/>
    </row>
    <row r="82" spans="7:13" ht="15.75" customHeight="1">
      <c r="G82" s="11"/>
      <c r="K82" s="36"/>
      <c r="L82" s="36"/>
      <c r="M82" s="36"/>
    </row>
    <row r="83" spans="7:13" ht="15.75" customHeight="1">
      <c r="G83" s="11"/>
      <c r="K83" s="36"/>
      <c r="L83" s="36"/>
      <c r="M83" s="36"/>
    </row>
    <row r="84" spans="7:13" ht="15.75" customHeight="1">
      <c r="G84" s="11"/>
      <c r="K84" s="36"/>
      <c r="L84" s="36"/>
      <c r="M84" s="36"/>
    </row>
    <row r="85" spans="7:13" ht="15.75" customHeight="1">
      <c r="G85" s="11"/>
      <c r="K85" s="36"/>
      <c r="L85" s="36"/>
      <c r="M85" s="36"/>
    </row>
    <row r="86" spans="7:13" ht="15.75" customHeight="1">
      <c r="G86" s="11"/>
      <c r="K86" s="36"/>
      <c r="L86" s="36"/>
      <c r="M86" s="36"/>
    </row>
    <row r="87" spans="7:13" ht="15.75" customHeight="1">
      <c r="G87" s="11"/>
      <c r="K87" s="36"/>
      <c r="L87" s="36"/>
      <c r="M87" s="36"/>
    </row>
    <row r="88" spans="7:13" ht="15.75" customHeight="1">
      <c r="G88" s="11"/>
      <c r="K88" s="36"/>
      <c r="L88" s="36"/>
      <c r="M88" s="36"/>
    </row>
    <row r="89" spans="7:13" ht="15.75" customHeight="1">
      <c r="G89" s="11"/>
      <c r="K89" s="36"/>
      <c r="L89" s="36"/>
      <c r="M89" s="36"/>
    </row>
    <row r="90" spans="7:13" ht="15.75" customHeight="1">
      <c r="G90" s="11"/>
      <c r="K90" s="36"/>
      <c r="L90" s="36"/>
      <c r="M90" s="36"/>
    </row>
    <row r="91" spans="7:13" ht="15.75" customHeight="1">
      <c r="G91" s="11"/>
      <c r="K91" s="36"/>
      <c r="L91" s="36"/>
      <c r="M91" s="36"/>
    </row>
    <row r="92" spans="7:13" ht="15.75" customHeight="1">
      <c r="G92" s="11"/>
      <c r="K92" s="36"/>
      <c r="L92" s="36"/>
      <c r="M92" s="36"/>
    </row>
    <row r="93" spans="7:13" ht="15.75" customHeight="1">
      <c r="G93" s="11"/>
      <c r="K93" s="36"/>
      <c r="L93" s="36"/>
      <c r="M93" s="36"/>
    </row>
    <row r="94" spans="7:13" ht="15.75" customHeight="1">
      <c r="G94" s="11"/>
      <c r="K94" s="36"/>
      <c r="L94" s="36"/>
      <c r="M94" s="36"/>
    </row>
    <row r="95" spans="7:13" ht="15.75" customHeight="1">
      <c r="G95" s="11"/>
      <c r="K95" s="36"/>
      <c r="L95" s="36"/>
      <c r="M95" s="36"/>
    </row>
    <row r="96" spans="7:13" ht="15.75" customHeight="1">
      <c r="G96" s="11"/>
      <c r="K96" s="36"/>
      <c r="L96" s="36"/>
      <c r="M96" s="36"/>
    </row>
    <row r="97" spans="7:13" ht="15.75" customHeight="1">
      <c r="G97" s="11"/>
      <c r="K97" s="36"/>
      <c r="L97" s="36"/>
      <c r="M97" s="36"/>
    </row>
    <row r="98" spans="7:13" ht="15.75" customHeight="1">
      <c r="G98" s="11"/>
      <c r="K98" s="36"/>
      <c r="L98" s="36"/>
      <c r="M98" s="36"/>
    </row>
    <row r="99" spans="7:13" ht="15.75" customHeight="1">
      <c r="G99" s="11"/>
      <c r="K99" s="36"/>
      <c r="L99" s="36"/>
      <c r="M99" s="36"/>
    </row>
    <row r="100" spans="7:13" ht="15.75" customHeight="1">
      <c r="G100" s="11"/>
      <c r="K100" s="36"/>
      <c r="L100" s="36"/>
      <c r="M100" s="36"/>
    </row>
    <row r="101" spans="7:13" ht="15.75" customHeight="1">
      <c r="G101" s="11"/>
      <c r="K101" s="36"/>
      <c r="L101" s="36"/>
      <c r="M101" s="36"/>
    </row>
    <row r="102" spans="7:13" ht="15.75" customHeight="1">
      <c r="G102" s="11"/>
      <c r="K102" s="36"/>
      <c r="L102" s="36"/>
      <c r="M102" s="36"/>
    </row>
    <row r="103" spans="7:13" ht="15.75" customHeight="1">
      <c r="G103" s="11"/>
      <c r="K103" s="36"/>
      <c r="L103" s="36"/>
      <c r="M103" s="36"/>
    </row>
    <row r="104" spans="7:13" ht="15.75" customHeight="1">
      <c r="G104" s="11"/>
      <c r="K104" s="36"/>
      <c r="L104" s="36"/>
      <c r="M104" s="36"/>
    </row>
    <row r="105" spans="7:13" ht="15.75" customHeight="1">
      <c r="G105" s="11"/>
      <c r="K105" s="36"/>
      <c r="L105" s="36"/>
      <c r="M105" s="36"/>
    </row>
    <row r="106" spans="7:13" ht="15.75" customHeight="1">
      <c r="G106" s="11"/>
      <c r="K106" s="36"/>
      <c r="L106" s="36"/>
      <c r="M106" s="36"/>
    </row>
    <row r="107" spans="7:13" ht="15.75" customHeight="1">
      <c r="G107" s="11"/>
      <c r="K107" s="36"/>
      <c r="L107" s="36"/>
      <c r="M107" s="36"/>
    </row>
    <row r="108" spans="7:13" ht="15.75" customHeight="1">
      <c r="G108" s="11"/>
      <c r="K108" s="36"/>
      <c r="L108" s="36"/>
      <c r="M108" s="36"/>
    </row>
    <row r="109" spans="7:13" ht="15.75" customHeight="1">
      <c r="G109" s="11"/>
      <c r="K109" s="36"/>
      <c r="L109" s="36"/>
      <c r="M109" s="36"/>
    </row>
    <row r="110" spans="7:13" ht="15.75" customHeight="1">
      <c r="G110" s="11"/>
      <c r="K110" s="36"/>
      <c r="L110" s="36"/>
      <c r="M110" s="36"/>
    </row>
    <row r="111" spans="7:13" ht="15.75" customHeight="1">
      <c r="G111" s="11"/>
      <c r="K111" s="36"/>
      <c r="L111" s="36"/>
      <c r="M111" s="36"/>
    </row>
    <row r="112" spans="7:13" ht="15.75" customHeight="1">
      <c r="G112" s="11"/>
      <c r="K112" s="36"/>
      <c r="L112" s="36"/>
      <c r="M112" s="36"/>
    </row>
    <row r="113" spans="7:13" ht="15.75" customHeight="1">
      <c r="G113" s="11"/>
      <c r="K113" s="36"/>
      <c r="L113" s="36"/>
      <c r="M113" s="36"/>
    </row>
    <row r="114" spans="7:13" ht="15.75" customHeight="1">
      <c r="G114" s="11"/>
      <c r="K114" s="36"/>
      <c r="L114" s="36"/>
      <c r="M114" s="36"/>
    </row>
    <row r="115" spans="7:13" ht="15.75" customHeight="1">
      <c r="G115" s="11"/>
      <c r="K115" s="36"/>
      <c r="L115" s="36"/>
      <c r="M115" s="36"/>
    </row>
    <row r="116" spans="7:13" ht="15.75" customHeight="1">
      <c r="G116" s="11"/>
      <c r="K116" s="36"/>
      <c r="L116" s="36"/>
      <c r="M116" s="36"/>
    </row>
    <row r="117" spans="7:13" ht="15.75" customHeight="1">
      <c r="G117" s="11"/>
      <c r="K117" s="36"/>
      <c r="L117" s="36"/>
      <c r="M117" s="36"/>
    </row>
    <row r="118" spans="7:13" ht="15.75" customHeight="1">
      <c r="G118" s="11"/>
      <c r="K118" s="36"/>
      <c r="L118" s="36"/>
      <c r="M118" s="36"/>
    </row>
    <row r="119" spans="7:13" ht="15.75" customHeight="1">
      <c r="G119" s="11"/>
      <c r="K119" s="36"/>
      <c r="L119" s="36"/>
      <c r="M119" s="36"/>
    </row>
    <row r="120" spans="7:13" ht="15.75" customHeight="1">
      <c r="G120" s="11"/>
      <c r="K120" s="36"/>
      <c r="L120" s="36"/>
      <c r="M120" s="36"/>
    </row>
    <row r="121" spans="7:13" ht="15.75" customHeight="1">
      <c r="G121" s="11"/>
      <c r="K121" s="36"/>
      <c r="L121" s="36"/>
      <c r="M121" s="36"/>
    </row>
    <row r="122" spans="7:13" ht="15.75" customHeight="1">
      <c r="G122" s="11"/>
      <c r="K122" s="36"/>
      <c r="L122" s="36"/>
      <c r="M122" s="36"/>
    </row>
    <row r="123" spans="7:13" ht="15.75" customHeight="1">
      <c r="G123" s="11"/>
      <c r="K123" s="36"/>
      <c r="L123" s="36"/>
      <c r="M123" s="36"/>
    </row>
    <row r="124" spans="7:13" ht="15.75" customHeight="1">
      <c r="G124" s="11"/>
      <c r="K124" s="36"/>
      <c r="L124" s="36"/>
      <c r="M124" s="36"/>
    </row>
    <row r="125" spans="7:13" ht="15.75" customHeight="1">
      <c r="G125" s="11"/>
      <c r="K125" s="36"/>
      <c r="L125" s="36"/>
      <c r="M125" s="36"/>
    </row>
    <row r="126" spans="7:13" ht="15.75" customHeight="1">
      <c r="G126" s="11"/>
      <c r="K126" s="36"/>
      <c r="L126" s="36"/>
      <c r="M126" s="36"/>
    </row>
    <row r="127" spans="7:13" ht="15.75" customHeight="1">
      <c r="G127" s="11"/>
      <c r="K127" s="36"/>
      <c r="L127" s="36"/>
      <c r="M127" s="36"/>
    </row>
    <row r="128" spans="7:13" ht="15.75" customHeight="1">
      <c r="G128" s="11"/>
      <c r="K128" s="36"/>
      <c r="L128" s="36"/>
      <c r="M128" s="36"/>
    </row>
    <row r="129" spans="7:13" ht="15.75" customHeight="1">
      <c r="G129" s="11"/>
      <c r="K129" s="36"/>
      <c r="L129" s="36"/>
      <c r="M129" s="36"/>
    </row>
    <row r="130" spans="7:13" ht="15.75" customHeight="1">
      <c r="G130" s="11"/>
      <c r="K130" s="36"/>
      <c r="L130" s="36"/>
      <c r="M130" s="36"/>
    </row>
    <row r="131" spans="7:13" ht="15.75" customHeight="1">
      <c r="G131" s="11"/>
      <c r="K131" s="36"/>
      <c r="L131" s="36"/>
      <c r="M131" s="36"/>
    </row>
    <row r="132" spans="7:13" ht="15.75" customHeight="1">
      <c r="G132" s="11"/>
      <c r="K132" s="36"/>
      <c r="L132" s="36"/>
      <c r="M132" s="36"/>
    </row>
    <row r="133" spans="7:13" ht="15.75" customHeight="1">
      <c r="G133" s="11"/>
      <c r="K133" s="36"/>
      <c r="L133" s="36"/>
      <c r="M133" s="36"/>
    </row>
    <row r="134" spans="7:13" ht="15.75" customHeight="1">
      <c r="G134" s="11"/>
      <c r="K134" s="36"/>
      <c r="L134" s="36"/>
      <c r="M134" s="36"/>
    </row>
    <row r="135" spans="7:13" ht="15.75" customHeight="1">
      <c r="G135" s="11"/>
      <c r="K135" s="36"/>
      <c r="L135" s="36"/>
      <c r="M135" s="36"/>
    </row>
    <row r="136" spans="7:13" ht="15.75" customHeight="1">
      <c r="G136" s="11"/>
      <c r="K136" s="36"/>
      <c r="L136" s="36"/>
      <c r="M136" s="36"/>
    </row>
    <row r="137" spans="7:13" ht="15.75" customHeight="1">
      <c r="G137" s="11"/>
      <c r="K137" s="36"/>
      <c r="L137" s="36"/>
      <c r="M137" s="36"/>
    </row>
    <row r="138" spans="7:13" ht="15.75" customHeight="1">
      <c r="G138" s="11"/>
      <c r="K138" s="36"/>
      <c r="L138" s="36"/>
      <c r="M138" s="36"/>
    </row>
    <row r="139" spans="7:13" ht="15.75" customHeight="1">
      <c r="G139" s="11"/>
      <c r="K139" s="36"/>
      <c r="L139" s="36"/>
      <c r="M139" s="36"/>
    </row>
    <row r="140" spans="7:13" ht="15.75" customHeight="1">
      <c r="G140" s="11"/>
      <c r="K140" s="36"/>
      <c r="L140" s="36"/>
      <c r="M140" s="36"/>
    </row>
    <row r="141" spans="7:13" ht="15.75" customHeight="1">
      <c r="G141" s="11"/>
      <c r="K141" s="36"/>
      <c r="L141" s="36"/>
      <c r="M141" s="36"/>
    </row>
    <row r="142" spans="7:13" ht="15.75" customHeight="1">
      <c r="G142" s="11"/>
      <c r="K142" s="36"/>
      <c r="L142" s="36"/>
      <c r="M142" s="36"/>
    </row>
    <row r="143" spans="7:13" ht="15.75" customHeight="1">
      <c r="G143" s="11"/>
      <c r="K143" s="36"/>
      <c r="L143" s="36"/>
      <c r="M143" s="36"/>
    </row>
    <row r="144" spans="7:13" ht="15.75" customHeight="1">
      <c r="G144" s="11"/>
      <c r="K144" s="36"/>
      <c r="L144" s="36"/>
      <c r="M144" s="36"/>
    </row>
    <row r="145" spans="7:13" ht="15.75" customHeight="1">
      <c r="G145" s="11"/>
      <c r="K145" s="36"/>
      <c r="L145" s="36"/>
      <c r="M145" s="36"/>
    </row>
    <row r="146" spans="7:13" ht="15.75" customHeight="1">
      <c r="G146" s="11"/>
      <c r="K146" s="36"/>
      <c r="L146" s="36"/>
      <c r="M146" s="36"/>
    </row>
    <row r="147" spans="7:13" ht="15.75" customHeight="1">
      <c r="G147" s="11"/>
      <c r="K147" s="36"/>
      <c r="L147" s="36"/>
      <c r="M147" s="36"/>
    </row>
    <row r="148" spans="7:13" ht="15.75" customHeight="1">
      <c r="G148" s="11"/>
      <c r="K148" s="36"/>
      <c r="L148" s="36"/>
      <c r="M148" s="36"/>
    </row>
    <row r="149" spans="7:13" ht="15.75" customHeight="1">
      <c r="G149" s="11"/>
      <c r="K149" s="36"/>
      <c r="L149" s="36"/>
      <c r="M149" s="36"/>
    </row>
    <row r="150" spans="7:13" ht="15.75" customHeight="1">
      <c r="G150" s="11"/>
      <c r="K150" s="36"/>
      <c r="L150" s="36"/>
      <c r="M150" s="36"/>
    </row>
    <row r="151" spans="7:13" ht="15.75" customHeight="1">
      <c r="G151" s="11"/>
      <c r="K151" s="36"/>
      <c r="L151" s="36"/>
      <c r="M151" s="36"/>
    </row>
    <row r="152" spans="7:13" ht="15.75" customHeight="1">
      <c r="G152" s="11"/>
      <c r="K152" s="36"/>
      <c r="L152" s="36"/>
      <c r="M152" s="36"/>
    </row>
    <row r="153" spans="7:13" ht="15.75" customHeight="1">
      <c r="G153" s="11"/>
      <c r="K153" s="36"/>
      <c r="L153" s="36"/>
      <c r="M153" s="36"/>
    </row>
    <row r="154" spans="7:13" ht="15.75" customHeight="1">
      <c r="G154" s="11"/>
      <c r="K154" s="36"/>
      <c r="L154" s="36"/>
      <c r="M154" s="36"/>
    </row>
    <row r="155" spans="7:13" ht="15.75" customHeight="1">
      <c r="G155" s="11"/>
      <c r="K155" s="36"/>
      <c r="L155" s="36"/>
      <c r="M155" s="36"/>
    </row>
    <row r="156" spans="7:13" ht="15.75" customHeight="1">
      <c r="G156" s="11"/>
      <c r="K156" s="36"/>
      <c r="L156" s="36"/>
      <c r="M156" s="36"/>
    </row>
    <row r="157" spans="7:13" ht="15.75" customHeight="1">
      <c r="G157" s="11"/>
      <c r="K157" s="36"/>
      <c r="L157" s="36"/>
      <c r="M157" s="36"/>
    </row>
    <row r="158" spans="7:13" ht="15.75" customHeight="1">
      <c r="G158" s="11"/>
      <c r="K158" s="36"/>
      <c r="L158" s="36"/>
      <c r="M158" s="36"/>
    </row>
    <row r="159" spans="7:13" ht="15.75" customHeight="1">
      <c r="G159" s="11"/>
      <c r="K159" s="36"/>
      <c r="L159" s="36"/>
      <c r="M159" s="36"/>
    </row>
    <row r="160" spans="7:13" ht="15.75" customHeight="1">
      <c r="G160" s="11"/>
      <c r="K160" s="36"/>
      <c r="L160" s="36"/>
      <c r="M160" s="36"/>
    </row>
    <row r="161" spans="7:13" ht="15.75" customHeight="1">
      <c r="G161" s="11"/>
      <c r="K161" s="36"/>
      <c r="L161" s="36"/>
      <c r="M161" s="36"/>
    </row>
    <row r="162" spans="7:13" ht="15.75" customHeight="1">
      <c r="G162" s="11"/>
      <c r="K162" s="36"/>
      <c r="L162" s="36"/>
      <c r="M162" s="36"/>
    </row>
    <row r="163" spans="7:13" ht="15.75" customHeight="1">
      <c r="G163" s="11"/>
      <c r="K163" s="36"/>
      <c r="L163" s="36"/>
      <c r="M163" s="36"/>
    </row>
    <row r="164" spans="7:13" ht="15.75" customHeight="1">
      <c r="G164" s="11"/>
      <c r="K164" s="36"/>
      <c r="L164" s="36"/>
      <c r="M164" s="36"/>
    </row>
    <row r="165" spans="7:13" ht="15.75" customHeight="1">
      <c r="G165" s="11"/>
      <c r="K165" s="36"/>
      <c r="L165" s="36"/>
      <c r="M165" s="36"/>
    </row>
    <row r="166" spans="7:13" ht="15.75" customHeight="1">
      <c r="G166" s="11"/>
      <c r="K166" s="36"/>
      <c r="L166" s="36"/>
      <c r="M166" s="36"/>
    </row>
    <row r="167" spans="7:13" ht="15.75" customHeight="1">
      <c r="G167" s="11"/>
      <c r="K167" s="36"/>
      <c r="L167" s="36"/>
      <c r="M167" s="36"/>
    </row>
    <row r="168" spans="7:13" ht="15.75" customHeight="1">
      <c r="G168" s="11"/>
      <c r="K168" s="36"/>
      <c r="L168" s="36"/>
      <c r="M168" s="36"/>
    </row>
    <row r="169" spans="7:13" ht="15.75" customHeight="1">
      <c r="G169" s="11"/>
      <c r="K169" s="36"/>
      <c r="L169" s="36"/>
      <c r="M169" s="36"/>
    </row>
    <row r="170" spans="7:13" ht="15.75" customHeight="1">
      <c r="G170" s="11"/>
      <c r="K170" s="36"/>
      <c r="L170" s="36"/>
      <c r="M170" s="36"/>
    </row>
    <row r="171" spans="7:13" ht="15.75" customHeight="1">
      <c r="G171" s="11"/>
      <c r="K171" s="36"/>
      <c r="L171" s="36"/>
      <c r="M171" s="36"/>
    </row>
    <row r="172" spans="7:13" ht="15.75" customHeight="1">
      <c r="G172" s="11"/>
      <c r="K172" s="36"/>
      <c r="L172" s="36"/>
      <c r="M172" s="36"/>
    </row>
    <row r="173" spans="7:13" ht="15.75" customHeight="1">
      <c r="G173" s="11"/>
      <c r="K173" s="36"/>
      <c r="L173" s="36"/>
      <c r="M173" s="36"/>
    </row>
    <row r="174" spans="7:13" ht="15.75" customHeight="1">
      <c r="G174" s="11"/>
      <c r="K174" s="36"/>
      <c r="L174" s="36"/>
      <c r="M174" s="36"/>
    </row>
    <row r="175" spans="7:13" ht="15.75" customHeight="1">
      <c r="G175" s="11"/>
      <c r="K175" s="36"/>
      <c r="L175" s="36"/>
      <c r="M175" s="36"/>
    </row>
    <row r="176" spans="7:13" ht="15.75" customHeight="1">
      <c r="G176" s="11"/>
      <c r="K176" s="36"/>
      <c r="L176" s="36"/>
      <c r="M176" s="36"/>
    </row>
    <row r="177" spans="7:13" ht="15.75" customHeight="1">
      <c r="G177" s="11"/>
      <c r="K177" s="36"/>
      <c r="L177" s="36"/>
      <c r="M177" s="36"/>
    </row>
    <row r="178" spans="7:13" ht="15.75" customHeight="1">
      <c r="G178" s="11"/>
      <c r="K178" s="36"/>
      <c r="L178" s="36"/>
      <c r="M178" s="36"/>
    </row>
    <row r="179" spans="7:13" ht="15.75" customHeight="1">
      <c r="G179" s="11"/>
      <c r="K179" s="36"/>
      <c r="L179" s="36"/>
      <c r="M179" s="36"/>
    </row>
    <row r="180" spans="7:13" ht="15.75" customHeight="1">
      <c r="G180" s="11"/>
      <c r="K180" s="36"/>
      <c r="L180" s="36"/>
      <c r="M180" s="36"/>
    </row>
    <row r="181" spans="7:13" ht="15.75" customHeight="1">
      <c r="G181" s="11"/>
      <c r="K181" s="36"/>
      <c r="L181" s="36"/>
      <c r="M181" s="36"/>
    </row>
    <row r="182" spans="7:13" ht="15.75" customHeight="1">
      <c r="G182" s="11"/>
      <c r="K182" s="36"/>
      <c r="L182" s="36"/>
      <c r="M182" s="36"/>
    </row>
    <row r="183" spans="7:13" ht="15.75" customHeight="1">
      <c r="G183" s="11"/>
      <c r="K183" s="36"/>
      <c r="L183" s="36"/>
      <c r="M183" s="36"/>
    </row>
    <row r="184" spans="7:13" ht="15.75" customHeight="1">
      <c r="G184" s="11"/>
      <c r="K184" s="36"/>
      <c r="L184" s="36"/>
      <c r="M184" s="36"/>
    </row>
    <row r="185" spans="7:13" ht="15.75" customHeight="1">
      <c r="G185" s="11"/>
      <c r="K185" s="36"/>
      <c r="L185" s="36"/>
      <c r="M185" s="36"/>
    </row>
    <row r="186" spans="7:13" ht="15.75" customHeight="1">
      <c r="G186" s="11"/>
      <c r="K186" s="36"/>
      <c r="L186" s="36"/>
      <c r="M186" s="36"/>
    </row>
    <row r="187" spans="7:13" ht="15.75" customHeight="1">
      <c r="G187" s="11"/>
      <c r="K187" s="36"/>
      <c r="L187" s="36"/>
      <c r="M187" s="36"/>
    </row>
    <row r="188" spans="7:13" ht="15.75" customHeight="1">
      <c r="G188" s="11"/>
      <c r="K188" s="36"/>
      <c r="L188" s="36"/>
      <c r="M188" s="36"/>
    </row>
    <row r="189" spans="7:13" ht="15.75" customHeight="1">
      <c r="G189" s="11"/>
      <c r="K189" s="36"/>
      <c r="L189" s="36"/>
      <c r="M189" s="36"/>
    </row>
    <row r="190" spans="7:13" ht="15.75" customHeight="1">
      <c r="G190" s="11"/>
      <c r="K190" s="36"/>
      <c r="L190" s="36"/>
      <c r="M190" s="36"/>
    </row>
    <row r="191" spans="7:13" ht="15.75" customHeight="1">
      <c r="G191" s="11"/>
      <c r="K191" s="36"/>
      <c r="L191" s="36"/>
      <c r="M191" s="36"/>
    </row>
    <row r="192" spans="7:13" ht="15.75" customHeight="1">
      <c r="G192" s="11"/>
      <c r="K192" s="36"/>
      <c r="L192" s="36"/>
      <c r="M192" s="36"/>
    </row>
    <row r="193" spans="7:13" ht="15.75" customHeight="1">
      <c r="G193" s="11"/>
      <c r="K193" s="36"/>
      <c r="L193" s="36"/>
      <c r="M193" s="36"/>
    </row>
    <row r="194" spans="7:13" ht="15.75" customHeight="1">
      <c r="G194" s="11"/>
      <c r="K194" s="36"/>
      <c r="L194" s="36"/>
      <c r="M194" s="36"/>
    </row>
    <row r="195" spans="7:13" ht="15.75" customHeight="1">
      <c r="G195" s="11"/>
      <c r="K195" s="36"/>
      <c r="L195" s="36"/>
      <c r="M195" s="36"/>
    </row>
    <row r="196" spans="7:13" ht="15.75" customHeight="1">
      <c r="G196" s="11"/>
      <c r="K196" s="36"/>
      <c r="L196" s="36"/>
      <c r="M196" s="36"/>
    </row>
    <row r="197" spans="7:13" ht="15.75" customHeight="1">
      <c r="G197" s="11"/>
      <c r="K197" s="36"/>
      <c r="L197" s="36"/>
      <c r="M197" s="36"/>
    </row>
    <row r="198" spans="7:13" ht="15.75" customHeight="1">
      <c r="G198" s="11"/>
      <c r="K198" s="36"/>
      <c r="L198" s="36"/>
      <c r="M198" s="36"/>
    </row>
    <row r="199" spans="7:13" ht="15.75" customHeight="1">
      <c r="G199" s="11"/>
      <c r="K199" s="36"/>
      <c r="L199" s="36"/>
      <c r="M199" s="36"/>
    </row>
    <row r="200" spans="7:13" ht="15.75" customHeight="1">
      <c r="G200" s="11"/>
      <c r="K200" s="36"/>
      <c r="L200" s="36"/>
      <c r="M200" s="36"/>
    </row>
    <row r="201" spans="7:13" ht="15.75" customHeight="1">
      <c r="G201" s="11"/>
      <c r="K201" s="36"/>
      <c r="L201" s="36"/>
      <c r="M201" s="36"/>
    </row>
    <row r="202" spans="7:13" ht="15.75" customHeight="1">
      <c r="G202" s="11"/>
      <c r="K202" s="36"/>
      <c r="L202" s="36"/>
      <c r="M202" s="36"/>
    </row>
    <row r="203" spans="7:13" ht="15.75" customHeight="1">
      <c r="G203" s="11"/>
      <c r="K203" s="36"/>
      <c r="L203" s="36"/>
      <c r="M203" s="36"/>
    </row>
    <row r="204" spans="7:13" ht="15.75" customHeight="1">
      <c r="G204" s="11"/>
      <c r="K204" s="36"/>
      <c r="L204" s="36"/>
      <c r="M204" s="36"/>
    </row>
    <row r="205" spans="7:13" ht="15.75" customHeight="1">
      <c r="G205" s="11"/>
      <c r="K205" s="36"/>
      <c r="L205" s="36"/>
      <c r="M205" s="36"/>
    </row>
    <row r="206" spans="7:13" ht="15.75" customHeight="1">
      <c r="G206" s="11"/>
      <c r="K206" s="36"/>
      <c r="L206" s="36"/>
      <c r="M206" s="36"/>
    </row>
    <row r="207" spans="7:13" ht="15.75" customHeight="1">
      <c r="G207" s="11"/>
      <c r="K207" s="36"/>
      <c r="L207" s="36"/>
      <c r="M207" s="36"/>
    </row>
    <row r="208" spans="7:13" ht="15.75" customHeight="1">
      <c r="G208" s="11"/>
      <c r="K208" s="36"/>
      <c r="L208" s="36"/>
      <c r="M208" s="36"/>
    </row>
    <row r="209" spans="7:13" ht="15.75" customHeight="1">
      <c r="G209" s="11"/>
      <c r="K209" s="36"/>
      <c r="L209" s="36"/>
      <c r="M209" s="36"/>
    </row>
    <row r="210" spans="7:13" ht="15.75" customHeight="1">
      <c r="G210" s="11"/>
      <c r="K210" s="36"/>
      <c r="L210" s="36"/>
      <c r="M210" s="36"/>
    </row>
    <row r="211" spans="7:13" ht="15.75" customHeight="1">
      <c r="G211" s="11"/>
      <c r="K211" s="36"/>
      <c r="L211" s="36"/>
      <c r="M211" s="36"/>
    </row>
    <row r="212" spans="7:13" ht="15.75" customHeight="1">
      <c r="G212" s="11"/>
      <c r="K212" s="36"/>
      <c r="L212" s="36"/>
      <c r="M212" s="36"/>
    </row>
    <row r="213" spans="7:13" ht="15.75" customHeight="1">
      <c r="G213" s="11"/>
      <c r="K213" s="36"/>
      <c r="L213" s="36"/>
      <c r="M213" s="36"/>
    </row>
    <row r="214" spans="7:13" ht="15.75" customHeight="1">
      <c r="G214" s="11"/>
      <c r="K214" s="36"/>
      <c r="L214" s="36"/>
      <c r="M214" s="36"/>
    </row>
    <row r="215" spans="7:13" ht="15.75" customHeight="1">
      <c r="G215" s="11"/>
      <c r="K215" s="36"/>
      <c r="L215" s="36"/>
      <c r="M215" s="36"/>
    </row>
    <row r="216" spans="7:13" ht="15.75" customHeight="1">
      <c r="G216" s="11"/>
      <c r="K216" s="36"/>
      <c r="L216" s="36"/>
      <c r="M216" s="36"/>
    </row>
    <row r="217" spans="7:13" ht="15.75" customHeight="1">
      <c r="G217" s="11"/>
      <c r="K217" s="36"/>
      <c r="L217" s="36"/>
      <c r="M217" s="36"/>
    </row>
    <row r="218" spans="7:13" ht="15.75" customHeight="1">
      <c r="G218" s="11"/>
      <c r="K218" s="36"/>
      <c r="L218" s="36"/>
      <c r="M218" s="36"/>
    </row>
    <row r="219" spans="7:13" ht="15.75" customHeight="1">
      <c r="G219" s="11"/>
      <c r="K219" s="36"/>
      <c r="L219" s="36"/>
      <c r="M219" s="36"/>
    </row>
    <row r="220" spans="7:13" ht="15.75" customHeight="1">
      <c r="G220" s="11"/>
      <c r="K220" s="36"/>
      <c r="L220" s="36"/>
      <c r="M220" s="36"/>
    </row>
    <row r="221" spans="7:13" ht="15.75" customHeight="1">
      <c r="G221" s="11"/>
      <c r="K221" s="36"/>
      <c r="L221" s="36"/>
      <c r="M221" s="36"/>
    </row>
    <row r="222" spans="7:13" ht="15.75" customHeight="1">
      <c r="G222" s="11"/>
      <c r="K222" s="36"/>
      <c r="L222" s="36"/>
      <c r="M222" s="36"/>
    </row>
    <row r="223" spans="7:13" ht="15.75" customHeight="1">
      <c r="G223" s="11"/>
      <c r="K223" s="36"/>
      <c r="L223" s="36"/>
      <c r="M223" s="36"/>
    </row>
    <row r="224" spans="7:13" ht="15.75" customHeight="1">
      <c r="G224" s="11"/>
      <c r="K224" s="36"/>
      <c r="L224" s="36"/>
      <c r="M224" s="36"/>
    </row>
    <row r="225" spans="7:13" ht="15.75" customHeight="1">
      <c r="G225" s="11"/>
      <c r="K225" s="36"/>
      <c r="L225" s="36"/>
      <c r="M225" s="36"/>
    </row>
    <row r="226" spans="7:13" ht="15.75" customHeight="1">
      <c r="G226" s="11"/>
      <c r="K226" s="36"/>
      <c r="L226" s="36"/>
      <c r="M226" s="36"/>
    </row>
    <row r="227" spans="7:13" ht="15.75" customHeight="1">
      <c r="G227" s="11"/>
      <c r="K227" s="36"/>
      <c r="L227" s="36"/>
      <c r="M227" s="36"/>
    </row>
    <row r="228" spans="7:13" ht="15.75" customHeight="1">
      <c r="G228" s="11"/>
      <c r="K228" s="36"/>
      <c r="L228" s="36"/>
      <c r="M228" s="36"/>
    </row>
    <row r="229" spans="7:13" ht="15.75" customHeight="1">
      <c r="G229" s="11"/>
      <c r="K229" s="36"/>
      <c r="L229" s="36"/>
      <c r="M229" s="36"/>
    </row>
    <row r="230" spans="7:13" ht="15.75" customHeight="1">
      <c r="G230" s="11"/>
      <c r="K230" s="36"/>
      <c r="L230" s="36"/>
      <c r="M230" s="36"/>
    </row>
    <row r="231" spans="7:13" ht="15.75" customHeight="1">
      <c r="G231" s="11"/>
      <c r="K231" s="36"/>
      <c r="L231" s="36"/>
      <c r="M231" s="36"/>
    </row>
    <row r="232" spans="7:13" ht="15.75" customHeight="1">
      <c r="G232" s="11"/>
      <c r="K232" s="36"/>
      <c r="L232" s="36"/>
      <c r="M232" s="36"/>
    </row>
    <row r="233" spans="7:13" ht="15.75" customHeight="1">
      <c r="G233" s="11"/>
      <c r="K233" s="36"/>
      <c r="L233" s="36"/>
      <c r="M233" s="36"/>
    </row>
    <row r="234" spans="7:13" ht="15.75" customHeight="1">
      <c r="G234" s="11"/>
      <c r="K234" s="36"/>
      <c r="L234" s="36"/>
      <c r="M234" s="36"/>
    </row>
    <row r="235" spans="7:13" ht="15.75" customHeight="1">
      <c r="G235" s="11"/>
      <c r="K235" s="36"/>
      <c r="L235" s="36"/>
      <c r="M235" s="36"/>
    </row>
    <row r="236" spans="7:13" ht="15.75" customHeight="1">
      <c r="G236" s="11"/>
      <c r="K236" s="36"/>
      <c r="L236" s="36"/>
      <c r="M236" s="36"/>
    </row>
    <row r="237" spans="7:13" ht="15.75" customHeight="1">
      <c r="G237" s="11"/>
      <c r="K237" s="36"/>
      <c r="L237" s="36"/>
      <c r="M237" s="36"/>
    </row>
    <row r="238" spans="7:13" ht="15.75" customHeight="1">
      <c r="G238" s="11"/>
      <c r="K238" s="36"/>
      <c r="L238" s="36"/>
      <c r="M238" s="36"/>
    </row>
    <row r="239" spans="7:13" ht="15.75" customHeight="1">
      <c r="G239" s="11"/>
      <c r="K239" s="36"/>
      <c r="L239" s="36"/>
      <c r="M239" s="36"/>
    </row>
    <row r="240" spans="7:13" ht="15.75" customHeight="1">
      <c r="G240" s="11"/>
      <c r="K240" s="36"/>
      <c r="L240" s="36"/>
      <c r="M240" s="36"/>
    </row>
    <row r="241" spans="7:13" ht="15.75" customHeight="1">
      <c r="G241" s="11"/>
      <c r="K241" s="36"/>
      <c r="L241" s="36"/>
      <c r="M241" s="36"/>
    </row>
    <row r="242" spans="7:13" ht="15.75" customHeight="1">
      <c r="G242" s="11"/>
      <c r="K242" s="36"/>
      <c r="L242" s="36"/>
      <c r="M242" s="36"/>
    </row>
    <row r="243" spans="7:13" ht="15.75" customHeight="1">
      <c r="G243" s="11"/>
      <c r="K243" s="36"/>
      <c r="L243" s="36"/>
      <c r="M243" s="36"/>
    </row>
    <row r="244" spans="7:13" ht="15.75" customHeight="1">
      <c r="G244" s="11"/>
      <c r="K244" s="36"/>
      <c r="L244" s="36"/>
      <c r="M244" s="36"/>
    </row>
    <row r="245" spans="7:13" ht="15.75" customHeight="1">
      <c r="G245" s="11"/>
      <c r="K245" s="36"/>
      <c r="L245" s="36"/>
      <c r="M245" s="36"/>
    </row>
    <row r="246" spans="7:13" ht="15.75" customHeight="1">
      <c r="G246" s="11"/>
      <c r="K246" s="36"/>
      <c r="L246" s="36"/>
      <c r="M246" s="36"/>
    </row>
    <row r="247" spans="7:13" ht="15.75" customHeight="1">
      <c r="G247" s="11"/>
      <c r="K247" s="36"/>
      <c r="L247" s="36"/>
      <c r="M247" s="36"/>
    </row>
    <row r="248" spans="7:13" ht="15.75" customHeight="1">
      <c r="G248" s="11"/>
      <c r="K248" s="36"/>
      <c r="L248" s="36"/>
      <c r="M248" s="36"/>
    </row>
    <row r="249" spans="7:13" ht="15.75" customHeight="1">
      <c r="G249" s="11"/>
      <c r="K249" s="36"/>
      <c r="L249" s="36"/>
      <c r="M249" s="36"/>
    </row>
    <row r="250" spans="7:13" ht="15.75" customHeight="1">
      <c r="G250" s="11"/>
      <c r="K250" s="36"/>
      <c r="L250" s="36"/>
      <c r="M250" s="36"/>
    </row>
    <row r="251" spans="7:13" ht="15.75" customHeight="1">
      <c r="G251" s="11"/>
      <c r="K251" s="36"/>
      <c r="L251" s="36"/>
      <c r="M251" s="36"/>
    </row>
    <row r="252" spans="7:13" ht="15.75" customHeight="1">
      <c r="G252" s="11"/>
      <c r="K252" s="36"/>
      <c r="L252" s="36"/>
      <c r="M252" s="36"/>
    </row>
    <row r="253" spans="7:13" ht="15.75" customHeight="1">
      <c r="G253" s="11"/>
      <c r="K253" s="36"/>
      <c r="L253" s="36"/>
      <c r="M253" s="36"/>
    </row>
    <row r="254" spans="7:13" ht="15.75" customHeight="1">
      <c r="G254" s="11"/>
      <c r="K254" s="36"/>
      <c r="L254" s="36"/>
      <c r="M254" s="36"/>
    </row>
    <row r="255" spans="7:13" ht="15.75" customHeight="1">
      <c r="G255" s="11"/>
      <c r="K255" s="36"/>
      <c r="L255" s="36"/>
      <c r="M255" s="36"/>
    </row>
    <row r="256" spans="7:13" ht="15.75" customHeight="1">
      <c r="G256" s="11"/>
      <c r="K256" s="36"/>
      <c r="L256" s="36"/>
      <c r="M256" s="36"/>
    </row>
    <row r="257" spans="7:13" ht="15.75" customHeight="1">
      <c r="G257" s="11"/>
      <c r="K257" s="36"/>
      <c r="L257" s="36"/>
      <c r="M257" s="36"/>
    </row>
    <row r="258" spans="7:13" ht="15.75" customHeight="1">
      <c r="G258" s="11"/>
      <c r="K258" s="36"/>
      <c r="L258" s="36"/>
      <c r="M258" s="36"/>
    </row>
    <row r="259" spans="7:13" ht="15.75" customHeight="1">
      <c r="G259" s="11"/>
      <c r="K259" s="36"/>
      <c r="L259" s="36"/>
      <c r="M259" s="36"/>
    </row>
    <row r="260" spans="7:13" ht="15.75" customHeight="1">
      <c r="G260" s="11"/>
      <c r="K260" s="36"/>
      <c r="L260" s="36"/>
      <c r="M260" s="36"/>
    </row>
    <row r="261" spans="7:13" ht="15.75" customHeight="1">
      <c r="G261" s="11"/>
      <c r="K261" s="36"/>
      <c r="L261" s="36"/>
      <c r="M261" s="36"/>
    </row>
    <row r="262" spans="7:13" ht="15.75" customHeight="1">
      <c r="G262" s="11"/>
      <c r="K262" s="36"/>
      <c r="L262" s="36"/>
      <c r="M262" s="36"/>
    </row>
    <row r="263" spans="7:13" ht="15.75" customHeight="1">
      <c r="G263" s="11"/>
      <c r="K263" s="36"/>
      <c r="L263" s="36"/>
      <c r="M263" s="36"/>
    </row>
    <row r="264" spans="7:13" ht="15.75" customHeight="1">
      <c r="G264" s="11"/>
      <c r="K264" s="36"/>
      <c r="L264" s="36"/>
      <c r="M264" s="36"/>
    </row>
    <row r="265" spans="7:13" ht="15.75" customHeight="1">
      <c r="G265" s="11"/>
      <c r="K265" s="36"/>
      <c r="L265" s="36"/>
      <c r="M265" s="36"/>
    </row>
    <row r="266" spans="7:13" ht="15.75" customHeight="1">
      <c r="G266" s="11"/>
      <c r="K266" s="36"/>
      <c r="L266" s="36"/>
      <c r="M266" s="36"/>
    </row>
    <row r="267" spans="7:13" ht="15.75" customHeight="1">
      <c r="G267" s="11"/>
      <c r="K267" s="36"/>
      <c r="L267" s="36"/>
      <c r="M267" s="36"/>
    </row>
    <row r="268" spans="7:13" ht="15.75" customHeight="1">
      <c r="G268" s="11"/>
      <c r="K268" s="36"/>
      <c r="L268" s="36"/>
      <c r="M268" s="36"/>
    </row>
    <row r="269" spans="7:13" ht="15.75" customHeight="1">
      <c r="G269" s="11"/>
      <c r="K269" s="36"/>
      <c r="L269" s="36"/>
      <c r="M269" s="36"/>
    </row>
    <row r="270" spans="7:13" ht="15.75" customHeight="1">
      <c r="G270" s="11"/>
      <c r="K270" s="36"/>
      <c r="L270" s="36"/>
      <c r="M270" s="36"/>
    </row>
    <row r="271" spans="7:13" ht="15.75" customHeight="1">
      <c r="G271" s="11"/>
      <c r="K271" s="36"/>
      <c r="L271" s="36"/>
      <c r="M271" s="36"/>
    </row>
    <row r="272" spans="7:13" ht="15.75" customHeight="1">
      <c r="G272" s="11"/>
      <c r="K272" s="36"/>
      <c r="L272" s="36"/>
      <c r="M272" s="36"/>
    </row>
    <row r="273" spans="7:13" ht="15.75" customHeight="1">
      <c r="G273" s="11"/>
      <c r="K273" s="36"/>
      <c r="L273" s="36"/>
      <c r="M273" s="36"/>
    </row>
    <row r="274" spans="7:13" ht="15.75" customHeight="1">
      <c r="G274" s="11"/>
      <c r="K274" s="36"/>
      <c r="L274" s="36"/>
      <c r="M274" s="36"/>
    </row>
    <row r="275" spans="7:13" ht="15.75" customHeight="1">
      <c r="G275" s="11"/>
      <c r="K275" s="36"/>
      <c r="L275" s="36"/>
      <c r="M275" s="36"/>
    </row>
    <row r="276" spans="7:13" ht="15.75" customHeight="1">
      <c r="G276" s="11"/>
      <c r="K276" s="36"/>
      <c r="L276" s="36"/>
      <c r="M276" s="36"/>
    </row>
    <row r="277" spans="7:13" ht="15.75" customHeight="1">
      <c r="G277" s="11"/>
      <c r="K277" s="36"/>
      <c r="L277" s="36"/>
      <c r="M277" s="36"/>
    </row>
    <row r="278" spans="7:13" ht="15.75" customHeight="1">
      <c r="G278" s="11"/>
      <c r="K278" s="36"/>
      <c r="L278" s="36"/>
      <c r="M278" s="36"/>
    </row>
    <row r="279" spans="7:13" ht="15.75" customHeight="1">
      <c r="G279" s="11"/>
      <c r="K279" s="36"/>
      <c r="L279" s="36"/>
      <c r="M279" s="36"/>
    </row>
    <row r="280" spans="7:13" ht="15.75" customHeight="1">
      <c r="G280" s="11"/>
      <c r="K280" s="36"/>
      <c r="L280" s="36"/>
      <c r="M280" s="36"/>
    </row>
    <row r="281" spans="7:13" ht="15.75" customHeight="1">
      <c r="G281" s="11"/>
      <c r="K281" s="36"/>
      <c r="L281" s="36"/>
      <c r="M281" s="36"/>
    </row>
    <row r="282" spans="7:13" ht="15.75" customHeight="1">
      <c r="G282" s="11"/>
      <c r="K282" s="36"/>
      <c r="L282" s="36"/>
      <c r="M282" s="36"/>
    </row>
    <row r="283" spans="7:13" ht="15.75" customHeight="1">
      <c r="G283" s="11"/>
      <c r="K283" s="36"/>
      <c r="L283" s="36"/>
      <c r="M283" s="36"/>
    </row>
    <row r="284" spans="7:13" ht="15.75" customHeight="1">
      <c r="G284" s="11"/>
      <c r="K284" s="36"/>
      <c r="L284" s="36"/>
      <c r="M284" s="36"/>
    </row>
    <row r="285" spans="7:13" ht="15.75" customHeight="1">
      <c r="G285" s="11"/>
      <c r="K285" s="36"/>
      <c r="L285" s="36"/>
      <c r="M285" s="36"/>
    </row>
    <row r="286" spans="7:13" ht="15.75" customHeight="1">
      <c r="G286" s="11"/>
      <c r="K286" s="36"/>
      <c r="L286" s="36"/>
      <c r="M286" s="36"/>
    </row>
    <row r="287" spans="7:13" ht="15.75" customHeight="1">
      <c r="G287" s="11"/>
      <c r="K287" s="36"/>
      <c r="L287" s="36"/>
      <c r="M287" s="36"/>
    </row>
    <row r="288" spans="7:13" ht="15.75" customHeight="1">
      <c r="G288" s="11"/>
      <c r="K288" s="36"/>
      <c r="L288" s="36"/>
      <c r="M288" s="36"/>
    </row>
    <row r="289" spans="7:13" ht="15.75" customHeight="1">
      <c r="G289" s="11"/>
      <c r="K289" s="36"/>
      <c r="L289" s="36"/>
      <c r="M289" s="36"/>
    </row>
    <row r="290" spans="7:13" ht="15.75" customHeight="1">
      <c r="G290" s="11"/>
      <c r="K290" s="36"/>
      <c r="L290" s="36"/>
      <c r="M290" s="36"/>
    </row>
    <row r="291" spans="7:13" ht="15.75" customHeight="1">
      <c r="G291" s="11"/>
      <c r="K291" s="36"/>
      <c r="L291" s="36"/>
      <c r="M291" s="36"/>
    </row>
    <row r="292" spans="7:13" ht="15.75" customHeight="1">
      <c r="G292" s="11"/>
      <c r="K292" s="36"/>
      <c r="L292" s="36"/>
      <c r="M292" s="36"/>
    </row>
    <row r="293" spans="7:13" ht="15.75" customHeight="1">
      <c r="G293" s="11"/>
      <c r="K293" s="36"/>
      <c r="L293" s="36"/>
      <c r="M293" s="36"/>
    </row>
    <row r="294" spans="7:13" ht="15.75" customHeight="1">
      <c r="G294" s="11"/>
      <c r="K294" s="36"/>
      <c r="L294" s="36"/>
      <c r="M294" s="36"/>
    </row>
    <row r="295" spans="7:13" ht="15.75" customHeight="1">
      <c r="G295" s="11"/>
      <c r="K295" s="36"/>
      <c r="L295" s="36"/>
      <c r="M295" s="36"/>
    </row>
    <row r="296" spans="7:13" ht="15.75" customHeight="1">
      <c r="G296" s="11"/>
      <c r="K296" s="36"/>
      <c r="L296" s="36"/>
      <c r="M296" s="36"/>
    </row>
    <row r="297" spans="7:13" ht="15.75" customHeight="1">
      <c r="G297" s="11"/>
      <c r="K297" s="36"/>
      <c r="L297" s="36"/>
      <c r="M297" s="36"/>
    </row>
    <row r="298" spans="7:13" ht="15.75" customHeight="1">
      <c r="G298" s="11"/>
      <c r="K298" s="36"/>
      <c r="L298" s="36"/>
      <c r="M298" s="36"/>
    </row>
    <row r="299" spans="7:13" ht="15.75" customHeight="1">
      <c r="G299" s="11"/>
      <c r="K299" s="36"/>
      <c r="L299" s="36"/>
      <c r="M299" s="36"/>
    </row>
    <row r="300" spans="7:13" ht="15.75" customHeight="1">
      <c r="G300" s="11"/>
      <c r="K300" s="36"/>
      <c r="L300" s="36"/>
      <c r="M300" s="36"/>
    </row>
    <row r="301" spans="7:13" ht="15.75" customHeight="1">
      <c r="G301" s="11"/>
      <c r="K301" s="36"/>
      <c r="L301" s="36"/>
      <c r="M301" s="36"/>
    </row>
    <row r="302" spans="7:13" ht="15.75" customHeight="1">
      <c r="G302" s="11"/>
      <c r="K302" s="36"/>
      <c r="L302" s="36"/>
      <c r="M302" s="36"/>
    </row>
    <row r="303" spans="7:13" ht="15.75" customHeight="1">
      <c r="G303" s="11"/>
      <c r="K303" s="36"/>
      <c r="L303" s="36"/>
      <c r="M303" s="36"/>
    </row>
    <row r="304" spans="7:13" ht="15.75" customHeight="1">
      <c r="G304" s="11"/>
      <c r="K304" s="36"/>
      <c r="L304" s="36"/>
      <c r="M304" s="36"/>
    </row>
    <row r="305" spans="7:13" ht="15.75" customHeight="1">
      <c r="G305" s="11"/>
      <c r="K305" s="36"/>
      <c r="L305" s="36"/>
      <c r="M305" s="36"/>
    </row>
    <row r="306" spans="7:13" ht="15.75" customHeight="1">
      <c r="G306" s="11"/>
      <c r="K306" s="36"/>
      <c r="L306" s="36"/>
      <c r="M306" s="36"/>
    </row>
    <row r="307" spans="7:13" ht="15.75" customHeight="1">
      <c r="G307" s="11"/>
      <c r="K307" s="36"/>
      <c r="L307" s="36"/>
      <c r="M307" s="36"/>
    </row>
    <row r="308" spans="7:13" ht="15.75" customHeight="1">
      <c r="G308" s="11"/>
      <c r="K308" s="36"/>
      <c r="L308" s="36"/>
      <c r="M308" s="36"/>
    </row>
    <row r="309" spans="7:13" ht="15.75" customHeight="1">
      <c r="G309" s="11"/>
      <c r="K309" s="36"/>
      <c r="L309" s="36"/>
      <c r="M309" s="36"/>
    </row>
    <row r="310" spans="7:13" ht="15.75" customHeight="1">
      <c r="G310" s="11"/>
      <c r="K310" s="36"/>
      <c r="L310" s="36"/>
      <c r="M310" s="36"/>
    </row>
    <row r="311" spans="7:13" ht="15.75" customHeight="1">
      <c r="G311" s="11"/>
      <c r="K311" s="36"/>
      <c r="L311" s="36"/>
      <c r="M311" s="36"/>
    </row>
    <row r="312" spans="7:13" ht="15.75" customHeight="1">
      <c r="G312" s="11"/>
      <c r="K312" s="36"/>
      <c r="L312" s="36"/>
      <c r="M312" s="36"/>
    </row>
    <row r="313" spans="7:13" ht="15.75" customHeight="1">
      <c r="G313" s="11"/>
      <c r="K313" s="36"/>
      <c r="L313" s="36"/>
      <c r="M313" s="36"/>
    </row>
    <row r="314" spans="7:13" ht="15.75" customHeight="1">
      <c r="G314" s="11"/>
      <c r="K314" s="36"/>
      <c r="L314" s="36"/>
      <c r="M314" s="36"/>
    </row>
    <row r="315" spans="7:13" ht="15.75" customHeight="1">
      <c r="G315" s="11"/>
      <c r="K315" s="36"/>
      <c r="L315" s="36"/>
      <c r="M315" s="36"/>
    </row>
    <row r="316" spans="7:13" ht="15.75" customHeight="1">
      <c r="G316" s="11"/>
      <c r="K316" s="36"/>
      <c r="L316" s="36"/>
      <c r="M316" s="36"/>
    </row>
    <row r="317" spans="7:13" ht="15.75" customHeight="1">
      <c r="G317" s="11"/>
      <c r="K317" s="36"/>
      <c r="L317" s="36"/>
      <c r="M317" s="36"/>
    </row>
    <row r="318" spans="7:13" ht="15.75" customHeight="1">
      <c r="G318" s="11"/>
      <c r="K318" s="36"/>
      <c r="L318" s="36"/>
      <c r="M318" s="36"/>
    </row>
    <row r="319" spans="7:13" ht="15.75" customHeight="1">
      <c r="G319" s="11"/>
      <c r="K319" s="36"/>
      <c r="L319" s="36"/>
      <c r="M319" s="36"/>
    </row>
    <row r="320" spans="7:13" ht="15.75" customHeight="1">
      <c r="G320" s="11"/>
      <c r="K320" s="36"/>
      <c r="L320" s="36"/>
      <c r="M320" s="36"/>
    </row>
    <row r="321" spans="7:13" ht="15.75" customHeight="1">
      <c r="G321" s="11"/>
      <c r="K321" s="36"/>
      <c r="L321" s="36"/>
      <c r="M321" s="36"/>
    </row>
    <row r="322" spans="7:13" ht="15.75" customHeight="1">
      <c r="G322" s="11"/>
      <c r="K322" s="36"/>
      <c r="L322" s="36"/>
      <c r="M322" s="36"/>
    </row>
    <row r="323" spans="7:13" ht="15.75" customHeight="1">
      <c r="G323" s="11"/>
      <c r="K323" s="36"/>
      <c r="L323" s="36"/>
      <c r="M323" s="36"/>
    </row>
    <row r="324" spans="7:13" ht="15.75" customHeight="1">
      <c r="G324" s="11"/>
      <c r="K324" s="36"/>
      <c r="L324" s="36"/>
      <c r="M324" s="36"/>
    </row>
    <row r="325" spans="7:13" ht="15.75" customHeight="1">
      <c r="G325" s="11"/>
      <c r="K325" s="36"/>
      <c r="L325" s="36"/>
      <c r="M325" s="36"/>
    </row>
    <row r="326" spans="7:13" ht="15.75" customHeight="1">
      <c r="G326" s="11"/>
      <c r="K326" s="36"/>
      <c r="L326" s="36"/>
      <c r="M326" s="36"/>
    </row>
    <row r="327" spans="7:13" ht="15.75" customHeight="1">
      <c r="G327" s="11"/>
      <c r="K327" s="36"/>
      <c r="L327" s="36"/>
      <c r="M327" s="36"/>
    </row>
    <row r="328" spans="7:13" ht="15.75" customHeight="1">
      <c r="G328" s="11"/>
      <c r="K328" s="36"/>
      <c r="L328" s="36"/>
      <c r="M328" s="36"/>
    </row>
    <row r="329" spans="7:13" ht="15.75" customHeight="1">
      <c r="G329" s="11"/>
      <c r="K329" s="36"/>
      <c r="L329" s="36"/>
      <c r="M329" s="36"/>
    </row>
    <row r="330" spans="7:13" ht="15.75" customHeight="1">
      <c r="G330" s="11"/>
      <c r="K330" s="36"/>
      <c r="L330" s="36"/>
      <c r="M330" s="36"/>
    </row>
    <row r="331" spans="7:13" ht="15.75" customHeight="1">
      <c r="G331" s="11"/>
      <c r="K331" s="36"/>
      <c r="L331" s="36"/>
      <c r="M331" s="36"/>
    </row>
    <row r="332" spans="7:13" ht="15.75" customHeight="1">
      <c r="G332" s="11"/>
      <c r="K332" s="36"/>
      <c r="L332" s="36"/>
      <c r="M332" s="36"/>
    </row>
    <row r="333" spans="7:13" ht="15.75" customHeight="1">
      <c r="G333" s="11"/>
      <c r="K333" s="36"/>
      <c r="L333" s="36"/>
      <c r="M333" s="36"/>
    </row>
    <row r="334" spans="7:13" ht="15.75" customHeight="1">
      <c r="G334" s="11"/>
      <c r="K334" s="36"/>
      <c r="L334" s="36"/>
      <c r="M334" s="36"/>
    </row>
    <row r="335" spans="7:13" ht="15.75" customHeight="1">
      <c r="G335" s="11"/>
      <c r="K335" s="36"/>
      <c r="L335" s="36"/>
      <c r="M335" s="36"/>
    </row>
    <row r="336" spans="7:13" ht="15.75" customHeight="1">
      <c r="G336" s="11"/>
      <c r="K336" s="36"/>
      <c r="L336" s="36"/>
      <c r="M336" s="36"/>
    </row>
    <row r="337" spans="7:13" ht="15.75" customHeight="1">
      <c r="G337" s="11"/>
      <c r="K337" s="36"/>
      <c r="L337" s="36"/>
      <c r="M337" s="36"/>
    </row>
    <row r="338" spans="7:13" ht="15.75" customHeight="1">
      <c r="G338" s="11"/>
      <c r="K338" s="36"/>
      <c r="L338" s="36"/>
      <c r="M338" s="36"/>
    </row>
    <row r="339" spans="7:13" ht="15.75" customHeight="1">
      <c r="G339" s="11"/>
      <c r="K339" s="36"/>
      <c r="L339" s="36"/>
      <c r="M339" s="36"/>
    </row>
    <row r="340" spans="7:13" ht="15.75" customHeight="1">
      <c r="G340" s="11"/>
      <c r="K340" s="36"/>
      <c r="L340" s="36"/>
      <c r="M340" s="36"/>
    </row>
    <row r="341" spans="7:13" ht="15.75" customHeight="1">
      <c r="G341" s="11"/>
      <c r="K341" s="36"/>
      <c r="L341" s="36"/>
      <c r="M341" s="36"/>
    </row>
    <row r="342" spans="7:13" ht="15.75" customHeight="1">
      <c r="G342" s="11"/>
      <c r="K342" s="36"/>
      <c r="L342" s="36"/>
      <c r="M342" s="36"/>
    </row>
    <row r="343" spans="7:13" ht="15.75" customHeight="1">
      <c r="G343" s="11"/>
      <c r="K343" s="36"/>
      <c r="L343" s="36"/>
      <c r="M343" s="36"/>
    </row>
    <row r="344" spans="7:13" ht="15.75" customHeight="1">
      <c r="G344" s="11"/>
      <c r="K344" s="36"/>
      <c r="L344" s="36"/>
      <c r="M344" s="36"/>
    </row>
    <row r="345" spans="7:13" ht="15.75" customHeight="1">
      <c r="G345" s="11"/>
      <c r="K345" s="36"/>
      <c r="L345" s="36"/>
      <c r="M345" s="36"/>
    </row>
    <row r="346" spans="7:13" ht="15.75" customHeight="1">
      <c r="G346" s="11"/>
      <c r="K346" s="36"/>
      <c r="L346" s="36"/>
      <c r="M346" s="36"/>
    </row>
    <row r="347" spans="7:13" ht="15.75" customHeight="1">
      <c r="G347" s="11"/>
      <c r="K347" s="36"/>
      <c r="L347" s="36"/>
      <c r="M347" s="36"/>
    </row>
    <row r="348" spans="7:13" ht="15.75" customHeight="1">
      <c r="G348" s="11"/>
      <c r="K348" s="36"/>
      <c r="L348" s="36"/>
      <c r="M348" s="36"/>
    </row>
    <row r="349" spans="7:13" ht="15.75" customHeight="1">
      <c r="G349" s="11"/>
      <c r="K349" s="36"/>
      <c r="L349" s="36"/>
      <c r="M349" s="36"/>
    </row>
    <row r="350" spans="7:13" ht="15.75" customHeight="1">
      <c r="G350" s="11"/>
      <c r="K350" s="36"/>
      <c r="L350" s="36"/>
      <c r="M350" s="36"/>
    </row>
    <row r="351" spans="7:13" ht="15.75" customHeight="1">
      <c r="G351" s="11"/>
      <c r="K351" s="36"/>
      <c r="L351" s="36"/>
      <c r="M351" s="36"/>
    </row>
    <row r="352" spans="7:13" ht="15.75" customHeight="1">
      <c r="G352" s="11"/>
      <c r="K352" s="36"/>
      <c r="L352" s="36"/>
      <c r="M352" s="36"/>
    </row>
    <row r="353" spans="7:13" ht="15.75" customHeight="1">
      <c r="G353" s="11"/>
      <c r="K353" s="36"/>
      <c r="L353" s="36"/>
      <c r="M353" s="36"/>
    </row>
    <row r="354" spans="7:13" ht="15.75" customHeight="1">
      <c r="G354" s="11"/>
      <c r="K354" s="36"/>
      <c r="L354" s="36"/>
      <c r="M354" s="36"/>
    </row>
    <row r="355" spans="7:13" ht="15.75" customHeight="1">
      <c r="G355" s="11"/>
      <c r="K355" s="36"/>
      <c r="L355" s="36"/>
      <c r="M355" s="36"/>
    </row>
    <row r="356" spans="7:13" ht="15.75" customHeight="1">
      <c r="G356" s="11"/>
      <c r="K356" s="36"/>
      <c r="L356" s="36"/>
      <c r="M356" s="36"/>
    </row>
    <row r="357" spans="7:13" ht="15.75" customHeight="1">
      <c r="G357" s="11"/>
      <c r="K357" s="36"/>
      <c r="L357" s="36"/>
      <c r="M357" s="36"/>
    </row>
    <row r="358" spans="7:13" ht="15.75" customHeight="1">
      <c r="G358" s="11"/>
      <c r="K358" s="36"/>
      <c r="L358" s="36"/>
      <c r="M358" s="36"/>
    </row>
    <row r="359" spans="7:13" ht="15.75" customHeight="1">
      <c r="G359" s="11"/>
      <c r="K359" s="36"/>
      <c r="L359" s="36"/>
      <c r="M359" s="36"/>
    </row>
    <row r="360" spans="7:13" ht="15.75" customHeight="1">
      <c r="G360" s="11"/>
      <c r="K360" s="36"/>
      <c r="L360" s="36"/>
      <c r="M360" s="36"/>
    </row>
    <row r="361" spans="7:13" ht="15.75" customHeight="1">
      <c r="G361" s="11"/>
      <c r="K361" s="36"/>
      <c r="L361" s="36"/>
      <c r="M361" s="36"/>
    </row>
    <row r="362" spans="7:13" ht="15.75" customHeight="1">
      <c r="G362" s="11"/>
      <c r="K362" s="36"/>
      <c r="L362" s="36"/>
      <c r="M362" s="36"/>
    </row>
    <row r="363" spans="7:13" ht="15.75" customHeight="1">
      <c r="G363" s="11"/>
      <c r="K363" s="36"/>
      <c r="L363" s="36"/>
      <c r="M363" s="36"/>
    </row>
    <row r="364" spans="7:13" ht="15.75" customHeight="1">
      <c r="G364" s="11"/>
      <c r="K364" s="36"/>
      <c r="L364" s="36"/>
      <c r="M364" s="36"/>
    </row>
    <row r="365" spans="7:13" ht="15.75" customHeight="1">
      <c r="G365" s="11"/>
      <c r="K365" s="36"/>
      <c r="L365" s="36"/>
      <c r="M365" s="36"/>
    </row>
    <row r="366" spans="7:13" ht="15.75" customHeight="1">
      <c r="G366" s="11"/>
      <c r="K366" s="36"/>
      <c r="L366" s="36"/>
      <c r="M366" s="36"/>
    </row>
    <row r="367" spans="7:13" ht="15.75" customHeight="1">
      <c r="G367" s="11"/>
      <c r="K367" s="36"/>
      <c r="L367" s="36"/>
      <c r="M367" s="36"/>
    </row>
    <row r="368" spans="7:13" ht="15.75" customHeight="1">
      <c r="G368" s="11"/>
      <c r="K368" s="36"/>
      <c r="L368" s="36"/>
      <c r="M368" s="36"/>
    </row>
    <row r="369" spans="7:13" ht="15.75" customHeight="1">
      <c r="G369" s="11"/>
      <c r="K369" s="36"/>
      <c r="L369" s="36"/>
      <c r="M369" s="36"/>
    </row>
    <row r="370" spans="7:13" ht="15.75" customHeight="1">
      <c r="G370" s="11"/>
      <c r="K370" s="36"/>
      <c r="L370" s="36"/>
      <c r="M370" s="36"/>
    </row>
    <row r="371" spans="7:13" ht="15.75" customHeight="1">
      <c r="G371" s="11"/>
      <c r="K371" s="36"/>
      <c r="L371" s="36"/>
      <c r="M371" s="36"/>
    </row>
    <row r="372" spans="7:13" ht="15.75" customHeight="1">
      <c r="G372" s="11"/>
      <c r="K372" s="36"/>
      <c r="L372" s="36"/>
      <c r="M372" s="36"/>
    </row>
    <row r="373" spans="7:13" ht="15.75" customHeight="1">
      <c r="G373" s="11"/>
      <c r="K373" s="36"/>
      <c r="L373" s="36"/>
      <c r="M373" s="36"/>
    </row>
    <row r="374" spans="7:13" ht="15.75" customHeight="1">
      <c r="G374" s="11"/>
      <c r="K374" s="36"/>
      <c r="L374" s="36"/>
      <c r="M374" s="36"/>
    </row>
    <row r="375" spans="7:13" ht="15.75" customHeight="1">
      <c r="G375" s="11"/>
      <c r="K375" s="36"/>
      <c r="L375" s="36"/>
      <c r="M375" s="36"/>
    </row>
    <row r="376" spans="7:13" ht="15.75" customHeight="1">
      <c r="G376" s="11"/>
      <c r="K376" s="36"/>
      <c r="L376" s="36"/>
      <c r="M376" s="36"/>
    </row>
    <row r="377" spans="7:13" ht="15.75" customHeight="1">
      <c r="G377" s="11"/>
      <c r="K377" s="36"/>
      <c r="L377" s="36"/>
      <c r="M377" s="36"/>
    </row>
    <row r="378" spans="7:13" ht="15.75" customHeight="1">
      <c r="G378" s="11"/>
      <c r="K378" s="36"/>
      <c r="L378" s="36"/>
      <c r="M378" s="36"/>
    </row>
    <row r="379" spans="7:13" ht="15.75" customHeight="1">
      <c r="G379" s="11"/>
      <c r="K379" s="36"/>
      <c r="L379" s="36"/>
      <c r="M379" s="36"/>
    </row>
    <row r="380" spans="7:13" ht="15.75" customHeight="1">
      <c r="G380" s="11"/>
      <c r="K380" s="36"/>
      <c r="L380" s="36"/>
      <c r="M380" s="36"/>
    </row>
    <row r="381" spans="7:13" ht="15.75" customHeight="1">
      <c r="G381" s="11"/>
      <c r="K381" s="36"/>
      <c r="L381" s="36"/>
      <c r="M381" s="36"/>
    </row>
    <row r="382" spans="7:13" ht="15.75" customHeight="1">
      <c r="G382" s="11"/>
      <c r="K382" s="36"/>
      <c r="L382" s="36"/>
      <c r="M382" s="36"/>
    </row>
    <row r="383" spans="7:13" ht="15.75" customHeight="1">
      <c r="G383" s="11"/>
      <c r="K383" s="36"/>
      <c r="L383" s="36"/>
      <c r="M383" s="36"/>
    </row>
    <row r="384" spans="7:13" ht="15.75" customHeight="1">
      <c r="G384" s="11"/>
      <c r="K384" s="36"/>
      <c r="L384" s="36"/>
      <c r="M384" s="36"/>
    </row>
    <row r="385" spans="7:13" ht="15.75" customHeight="1">
      <c r="G385" s="11"/>
      <c r="K385" s="36"/>
      <c r="L385" s="36"/>
      <c r="M385" s="36"/>
    </row>
    <row r="386" spans="7:13" ht="15.75" customHeight="1">
      <c r="G386" s="11"/>
      <c r="K386" s="36"/>
      <c r="L386" s="36"/>
      <c r="M386" s="36"/>
    </row>
    <row r="387" spans="7:13" ht="15.75" customHeight="1">
      <c r="G387" s="11"/>
      <c r="K387" s="36"/>
      <c r="L387" s="36"/>
      <c r="M387" s="36"/>
    </row>
    <row r="388" spans="7:13" ht="15.75" customHeight="1">
      <c r="G388" s="11"/>
      <c r="K388" s="36"/>
      <c r="L388" s="36"/>
      <c r="M388" s="36"/>
    </row>
    <row r="389" spans="7:13" ht="15.75" customHeight="1">
      <c r="G389" s="11"/>
      <c r="K389" s="36"/>
      <c r="L389" s="36"/>
      <c r="M389" s="36"/>
    </row>
    <row r="390" spans="7:13" ht="15.75" customHeight="1">
      <c r="G390" s="11"/>
      <c r="K390" s="36"/>
      <c r="L390" s="36"/>
      <c r="M390" s="36"/>
    </row>
    <row r="391" spans="7:13" ht="15.75" customHeight="1">
      <c r="G391" s="11"/>
      <c r="K391" s="36"/>
      <c r="L391" s="36"/>
      <c r="M391" s="36"/>
    </row>
    <row r="392" spans="7:13" ht="15.75" customHeight="1">
      <c r="G392" s="11"/>
      <c r="K392" s="36"/>
      <c r="L392" s="36"/>
      <c r="M392" s="36"/>
    </row>
    <row r="393" spans="7:13" ht="15.75" customHeight="1">
      <c r="G393" s="11"/>
      <c r="K393" s="36"/>
      <c r="L393" s="36"/>
      <c r="M393" s="36"/>
    </row>
    <row r="394" spans="7:13" ht="15.75" customHeight="1">
      <c r="G394" s="11"/>
      <c r="K394" s="36"/>
      <c r="L394" s="36"/>
      <c r="M394" s="36"/>
    </row>
    <row r="395" spans="7:13" ht="15.75" customHeight="1">
      <c r="G395" s="11"/>
      <c r="K395" s="36"/>
      <c r="L395" s="36"/>
      <c r="M395" s="36"/>
    </row>
    <row r="396" spans="7:13" ht="15.75" customHeight="1">
      <c r="G396" s="11"/>
      <c r="K396" s="36"/>
      <c r="L396" s="36"/>
      <c r="M396" s="36"/>
    </row>
    <row r="397" spans="7:13" ht="15.75" customHeight="1">
      <c r="G397" s="11"/>
      <c r="K397" s="36"/>
      <c r="L397" s="36"/>
      <c r="M397" s="36"/>
    </row>
    <row r="398" spans="7:13" ht="15.75" customHeight="1">
      <c r="G398" s="11"/>
      <c r="K398" s="36"/>
      <c r="L398" s="36"/>
      <c r="M398" s="36"/>
    </row>
    <row r="399" spans="7:13" ht="15.75" customHeight="1">
      <c r="G399" s="11"/>
      <c r="K399" s="36"/>
      <c r="L399" s="36"/>
      <c r="M399" s="36"/>
    </row>
    <row r="400" spans="7:13" ht="15.75" customHeight="1">
      <c r="G400" s="11"/>
      <c r="K400" s="36"/>
      <c r="L400" s="36"/>
      <c r="M400" s="36"/>
    </row>
    <row r="401" spans="7:13" ht="15.75" customHeight="1">
      <c r="G401" s="11"/>
      <c r="K401" s="36"/>
      <c r="L401" s="36"/>
      <c r="M401" s="36"/>
    </row>
    <row r="402" spans="7:13" ht="15.75" customHeight="1">
      <c r="G402" s="11"/>
      <c r="K402" s="36"/>
      <c r="L402" s="36"/>
      <c r="M402" s="36"/>
    </row>
    <row r="403" spans="7:13" ht="15.75" customHeight="1">
      <c r="G403" s="11"/>
      <c r="K403" s="36"/>
      <c r="L403" s="36"/>
      <c r="M403" s="36"/>
    </row>
    <row r="404" spans="7:13" ht="15.75" customHeight="1">
      <c r="G404" s="11"/>
      <c r="K404" s="36"/>
      <c r="L404" s="36"/>
      <c r="M404" s="36"/>
    </row>
    <row r="405" spans="7:13" ht="15.75" customHeight="1">
      <c r="G405" s="11"/>
      <c r="K405" s="36"/>
      <c r="L405" s="36"/>
      <c r="M405" s="36"/>
    </row>
    <row r="406" spans="7:13" ht="15.75" customHeight="1">
      <c r="G406" s="11"/>
      <c r="K406" s="36"/>
      <c r="L406" s="36"/>
      <c r="M406" s="36"/>
    </row>
    <row r="407" spans="7:13" ht="15.75" customHeight="1">
      <c r="G407" s="11"/>
      <c r="K407" s="36"/>
      <c r="L407" s="36"/>
      <c r="M407" s="36"/>
    </row>
    <row r="408" spans="7:13" ht="15.75" customHeight="1">
      <c r="G408" s="11"/>
      <c r="K408" s="36"/>
      <c r="L408" s="36"/>
      <c r="M408" s="36"/>
    </row>
    <row r="409" spans="7:13" ht="15.75" customHeight="1">
      <c r="G409" s="11"/>
      <c r="K409" s="36"/>
      <c r="L409" s="36"/>
      <c r="M409" s="36"/>
    </row>
    <row r="410" spans="7:13" ht="15.75" customHeight="1">
      <c r="G410" s="11"/>
      <c r="K410" s="36"/>
      <c r="L410" s="36"/>
      <c r="M410" s="36"/>
    </row>
    <row r="411" spans="7:13" ht="15.75" customHeight="1">
      <c r="G411" s="11"/>
      <c r="K411" s="36"/>
      <c r="L411" s="36"/>
      <c r="M411" s="36"/>
    </row>
    <row r="412" spans="7:13" ht="15.75" customHeight="1">
      <c r="G412" s="11"/>
      <c r="K412" s="36"/>
      <c r="L412" s="36"/>
      <c r="M412" s="36"/>
    </row>
    <row r="413" spans="7:13" ht="15.75" customHeight="1">
      <c r="G413" s="11"/>
      <c r="K413" s="36"/>
      <c r="L413" s="36"/>
      <c r="M413" s="36"/>
    </row>
    <row r="414" spans="7:13" ht="15.75" customHeight="1">
      <c r="G414" s="11"/>
      <c r="K414" s="36"/>
      <c r="L414" s="36"/>
      <c r="M414" s="36"/>
    </row>
    <row r="415" spans="7:13" ht="15.75" customHeight="1">
      <c r="G415" s="11"/>
      <c r="K415" s="36"/>
      <c r="L415" s="36"/>
      <c r="M415" s="36"/>
    </row>
    <row r="416" spans="7:13" ht="15.75" customHeight="1">
      <c r="G416" s="11"/>
      <c r="K416" s="36"/>
      <c r="L416" s="36"/>
      <c r="M416" s="36"/>
    </row>
    <row r="417" spans="7:13" ht="15.75" customHeight="1">
      <c r="G417" s="11"/>
      <c r="K417" s="36"/>
      <c r="L417" s="36"/>
      <c r="M417" s="36"/>
    </row>
    <row r="418" spans="7:13" ht="15.75" customHeight="1">
      <c r="G418" s="11"/>
      <c r="K418" s="36"/>
      <c r="L418" s="36"/>
      <c r="M418" s="36"/>
    </row>
    <row r="419" spans="7:13" ht="15.75" customHeight="1">
      <c r="G419" s="11"/>
      <c r="K419" s="36"/>
      <c r="L419" s="36"/>
      <c r="M419" s="36"/>
    </row>
    <row r="420" spans="7:13" ht="15.75" customHeight="1">
      <c r="G420" s="11"/>
      <c r="K420" s="36"/>
      <c r="L420" s="36"/>
      <c r="M420" s="36"/>
    </row>
    <row r="421" spans="7:13" ht="15.75" customHeight="1">
      <c r="G421" s="11"/>
      <c r="K421" s="36"/>
      <c r="L421" s="36"/>
      <c r="M421" s="36"/>
    </row>
    <row r="422" spans="7:13" ht="15.75" customHeight="1">
      <c r="G422" s="11"/>
      <c r="K422" s="36"/>
      <c r="L422" s="36"/>
      <c r="M422" s="36"/>
    </row>
    <row r="423" spans="7:13" ht="15.75" customHeight="1">
      <c r="G423" s="11"/>
      <c r="K423" s="36"/>
      <c r="L423" s="36"/>
      <c r="M423" s="36"/>
    </row>
    <row r="424" spans="7:13" ht="15.75" customHeight="1">
      <c r="G424" s="11"/>
      <c r="K424" s="36"/>
      <c r="L424" s="36"/>
      <c r="M424" s="36"/>
    </row>
    <row r="425" spans="7:13" ht="15.75" customHeight="1">
      <c r="G425" s="11"/>
      <c r="K425" s="36"/>
      <c r="L425" s="36"/>
      <c r="M425" s="36"/>
    </row>
    <row r="426" spans="7:13" ht="15.75" customHeight="1">
      <c r="G426" s="11"/>
      <c r="K426" s="36"/>
      <c r="L426" s="36"/>
      <c r="M426" s="36"/>
    </row>
    <row r="427" spans="7:13" ht="15.75" customHeight="1">
      <c r="G427" s="11"/>
      <c r="K427" s="36"/>
      <c r="L427" s="36"/>
      <c r="M427" s="36"/>
    </row>
    <row r="428" spans="7:13" ht="15.75" customHeight="1">
      <c r="G428" s="11"/>
      <c r="K428" s="36"/>
      <c r="L428" s="36"/>
      <c r="M428" s="36"/>
    </row>
    <row r="429" spans="7:13" ht="15.75" customHeight="1">
      <c r="G429" s="11"/>
      <c r="K429" s="36"/>
      <c r="L429" s="36"/>
      <c r="M429" s="36"/>
    </row>
    <row r="430" spans="7:13" ht="15.75" customHeight="1">
      <c r="G430" s="11"/>
      <c r="K430" s="36"/>
      <c r="L430" s="36"/>
      <c r="M430" s="36"/>
    </row>
    <row r="431" spans="7:13" ht="15.75" customHeight="1">
      <c r="G431" s="11"/>
      <c r="K431" s="36"/>
      <c r="L431" s="36"/>
      <c r="M431" s="36"/>
    </row>
    <row r="432" spans="7:13" ht="15.75" customHeight="1">
      <c r="G432" s="11"/>
      <c r="K432" s="36"/>
      <c r="L432" s="36"/>
      <c r="M432" s="36"/>
    </row>
    <row r="433" spans="7:13" ht="15.75" customHeight="1">
      <c r="G433" s="11"/>
      <c r="K433" s="36"/>
      <c r="L433" s="36"/>
      <c r="M433" s="36"/>
    </row>
    <row r="434" spans="7:13" ht="15.75" customHeight="1">
      <c r="G434" s="11"/>
      <c r="K434" s="36"/>
      <c r="L434" s="36"/>
      <c r="M434" s="36"/>
    </row>
    <row r="435" spans="7:13" ht="15.75" customHeight="1">
      <c r="G435" s="11"/>
      <c r="K435" s="36"/>
      <c r="L435" s="36"/>
      <c r="M435" s="36"/>
    </row>
    <row r="436" spans="7:13" ht="15.75" customHeight="1">
      <c r="G436" s="11"/>
      <c r="K436" s="36"/>
      <c r="L436" s="36"/>
      <c r="M436" s="36"/>
    </row>
    <row r="437" spans="7:13" ht="15.75" customHeight="1">
      <c r="G437" s="11"/>
      <c r="K437" s="36"/>
      <c r="L437" s="36"/>
      <c r="M437" s="36"/>
    </row>
    <row r="438" spans="7:13" ht="15.75" customHeight="1">
      <c r="G438" s="11"/>
      <c r="K438" s="36"/>
      <c r="L438" s="36"/>
      <c r="M438" s="36"/>
    </row>
    <row r="439" spans="7:13" ht="15.75" customHeight="1">
      <c r="G439" s="11"/>
      <c r="K439" s="36"/>
      <c r="L439" s="36"/>
      <c r="M439" s="36"/>
    </row>
    <row r="440" spans="7:13" ht="15.75" customHeight="1">
      <c r="G440" s="11"/>
      <c r="K440" s="36"/>
      <c r="L440" s="36"/>
      <c r="M440" s="36"/>
    </row>
    <row r="441" spans="7:13" ht="15.75" customHeight="1">
      <c r="G441" s="11"/>
      <c r="K441" s="36"/>
      <c r="L441" s="36"/>
      <c r="M441" s="36"/>
    </row>
    <row r="442" spans="7:13" ht="15.75" customHeight="1">
      <c r="G442" s="11"/>
      <c r="K442" s="36"/>
      <c r="L442" s="36"/>
      <c r="M442" s="36"/>
    </row>
    <row r="443" spans="7:13" ht="15.75" customHeight="1">
      <c r="G443" s="11"/>
      <c r="K443" s="36"/>
      <c r="L443" s="36"/>
      <c r="M443" s="36"/>
    </row>
    <row r="444" spans="7:13" ht="15.75" customHeight="1">
      <c r="G444" s="11"/>
      <c r="K444" s="36"/>
      <c r="L444" s="36"/>
      <c r="M444" s="36"/>
    </row>
    <row r="445" spans="7:13" ht="15.75" customHeight="1">
      <c r="G445" s="11"/>
      <c r="K445" s="36"/>
      <c r="L445" s="36"/>
      <c r="M445" s="36"/>
    </row>
    <row r="446" spans="7:13" ht="15.75" customHeight="1">
      <c r="G446" s="11"/>
      <c r="K446" s="36"/>
      <c r="L446" s="36"/>
      <c r="M446" s="36"/>
    </row>
    <row r="447" spans="7:13" ht="15.75" customHeight="1">
      <c r="G447" s="11"/>
      <c r="K447" s="36"/>
      <c r="L447" s="36"/>
      <c r="M447" s="36"/>
    </row>
    <row r="448" spans="7:13" ht="15.75" customHeight="1">
      <c r="G448" s="11"/>
      <c r="K448" s="36"/>
      <c r="L448" s="36"/>
      <c r="M448" s="36"/>
    </row>
    <row r="449" spans="7:13" ht="15.75" customHeight="1">
      <c r="G449" s="11"/>
      <c r="K449" s="36"/>
      <c r="L449" s="36"/>
      <c r="M449" s="36"/>
    </row>
    <row r="450" spans="7:13" ht="15.75" customHeight="1">
      <c r="G450" s="11"/>
      <c r="K450" s="36"/>
      <c r="L450" s="36"/>
      <c r="M450" s="36"/>
    </row>
    <row r="451" spans="7:13" ht="15.75" customHeight="1">
      <c r="G451" s="11"/>
      <c r="K451" s="36"/>
      <c r="L451" s="36"/>
      <c r="M451" s="36"/>
    </row>
    <row r="452" spans="7:13" ht="15.75" customHeight="1">
      <c r="G452" s="11"/>
      <c r="K452" s="36"/>
      <c r="L452" s="36"/>
      <c r="M452" s="36"/>
    </row>
    <row r="453" spans="7:13" ht="15.75" customHeight="1">
      <c r="G453" s="11"/>
      <c r="K453" s="36"/>
      <c r="L453" s="36"/>
      <c r="M453" s="36"/>
    </row>
    <row r="454" spans="7:13" ht="15.75" customHeight="1">
      <c r="G454" s="11"/>
      <c r="K454" s="36"/>
      <c r="L454" s="36"/>
      <c r="M454" s="36"/>
    </row>
    <row r="455" spans="7:13" ht="15.75" customHeight="1">
      <c r="G455" s="11"/>
      <c r="K455" s="36"/>
      <c r="L455" s="36"/>
      <c r="M455" s="36"/>
    </row>
    <row r="456" spans="7:13" ht="15.75" customHeight="1">
      <c r="G456" s="11"/>
      <c r="K456" s="36"/>
      <c r="L456" s="36"/>
      <c r="M456" s="36"/>
    </row>
    <row r="457" spans="7:13" ht="15.75" customHeight="1">
      <c r="G457" s="11"/>
      <c r="K457" s="36"/>
      <c r="L457" s="36"/>
      <c r="M457" s="36"/>
    </row>
    <row r="458" spans="7:13" ht="15.75" customHeight="1">
      <c r="G458" s="11"/>
      <c r="K458" s="36"/>
      <c r="L458" s="36"/>
      <c r="M458" s="36"/>
    </row>
    <row r="459" spans="7:13" ht="15.75" customHeight="1">
      <c r="G459" s="11"/>
      <c r="K459" s="36"/>
      <c r="L459" s="36"/>
      <c r="M459" s="36"/>
    </row>
    <row r="460" spans="7:13" ht="15.75" customHeight="1">
      <c r="G460" s="11"/>
      <c r="K460" s="36"/>
      <c r="L460" s="36"/>
      <c r="M460" s="36"/>
    </row>
    <row r="461" spans="7:13" ht="15.75" customHeight="1">
      <c r="G461" s="11"/>
      <c r="K461" s="36"/>
      <c r="L461" s="36"/>
      <c r="M461" s="36"/>
    </row>
    <row r="462" spans="7:13" ht="15.75" customHeight="1">
      <c r="G462" s="11"/>
      <c r="K462" s="36"/>
      <c r="L462" s="36"/>
      <c r="M462" s="36"/>
    </row>
    <row r="463" spans="7:13" ht="15.75" customHeight="1">
      <c r="G463" s="11"/>
      <c r="K463" s="36"/>
      <c r="L463" s="36"/>
      <c r="M463" s="36"/>
    </row>
    <row r="464" spans="7:13" ht="15.75" customHeight="1">
      <c r="G464" s="11"/>
      <c r="K464" s="36"/>
      <c r="L464" s="36"/>
      <c r="M464" s="36"/>
    </row>
    <row r="465" spans="7:13" ht="15.75" customHeight="1">
      <c r="G465" s="11"/>
      <c r="K465" s="36"/>
      <c r="L465" s="36"/>
      <c r="M465" s="36"/>
    </row>
    <row r="466" spans="7:13" ht="15.75" customHeight="1">
      <c r="G466" s="11"/>
      <c r="K466" s="36"/>
      <c r="L466" s="36"/>
      <c r="M466" s="36"/>
    </row>
    <row r="467" spans="7:13" ht="15.75" customHeight="1">
      <c r="G467" s="11"/>
      <c r="K467" s="36"/>
      <c r="L467" s="36"/>
      <c r="M467" s="36"/>
    </row>
    <row r="468" spans="7:13" ht="15.75" customHeight="1">
      <c r="G468" s="11"/>
      <c r="K468" s="36"/>
      <c r="L468" s="36"/>
      <c r="M468" s="36"/>
    </row>
    <row r="469" spans="7:13" ht="15.75" customHeight="1">
      <c r="G469" s="11"/>
      <c r="K469" s="36"/>
      <c r="L469" s="36"/>
      <c r="M469" s="36"/>
    </row>
    <row r="470" spans="7:13" ht="15.75" customHeight="1">
      <c r="G470" s="11"/>
      <c r="K470" s="36"/>
      <c r="L470" s="36"/>
      <c r="M470" s="36"/>
    </row>
    <row r="471" spans="7:13" ht="15.75" customHeight="1">
      <c r="G471" s="11"/>
      <c r="K471" s="36"/>
      <c r="L471" s="36"/>
      <c r="M471" s="36"/>
    </row>
    <row r="472" spans="7:13" ht="15.75" customHeight="1">
      <c r="G472" s="11"/>
      <c r="K472" s="36"/>
      <c r="L472" s="36"/>
      <c r="M472" s="36"/>
    </row>
    <row r="473" spans="7:13" ht="15.75" customHeight="1">
      <c r="G473" s="11"/>
      <c r="K473" s="36"/>
      <c r="L473" s="36"/>
      <c r="M473" s="36"/>
    </row>
    <row r="474" spans="7:13" ht="15.75" customHeight="1">
      <c r="G474" s="11"/>
      <c r="K474" s="36"/>
      <c r="L474" s="36"/>
      <c r="M474" s="36"/>
    </row>
    <row r="475" spans="7:13" ht="15.75" customHeight="1">
      <c r="G475" s="11"/>
      <c r="K475" s="36"/>
      <c r="L475" s="36"/>
      <c r="M475" s="36"/>
    </row>
    <row r="476" spans="7:13" ht="15.75" customHeight="1">
      <c r="G476" s="11"/>
      <c r="K476" s="36"/>
      <c r="L476" s="36"/>
      <c r="M476" s="36"/>
    </row>
    <row r="477" spans="7:13" ht="15.75" customHeight="1">
      <c r="G477" s="11"/>
      <c r="K477" s="36"/>
      <c r="L477" s="36"/>
      <c r="M477" s="36"/>
    </row>
    <row r="478" spans="7:13" ht="15.75" customHeight="1">
      <c r="G478" s="11"/>
      <c r="K478" s="36"/>
      <c r="L478" s="36"/>
      <c r="M478" s="36"/>
    </row>
    <row r="479" spans="7:13" ht="15.75" customHeight="1">
      <c r="G479" s="11"/>
      <c r="K479" s="36"/>
      <c r="L479" s="36"/>
      <c r="M479" s="36"/>
    </row>
    <row r="480" spans="7:13" ht="15.75" customHeight="1">
      <c r="G480" s="11"/>
      <c r="K480" s="36"/>
      <c r="L480" s="36"/>
      <c r="M480" s="36"/>
    </row>
    <row r="481" spans="7:13" ht="15.75" customHeight="1">
      <c r="G481" s="11"/>
      <c r="K481" s="36"/>
      <c r="L481" s="36"/>
      <c r="M481" s="36"/>
    </row>
    <row r="482" spans="7:13" ht="15.75" customHeight="1">
      <c r="G482" s="11"/>
      <c r="K482" s="36"/>
      <c r="L482" s="36"/>
      <c r="M482" s="36"/>
    </row>
    <row r="483" spans="7:13" ht="15.75" customHeight="1">
      <c r="G483" s="11"/>
      <c r="K483" s="36"/>
      <c r="L483" s="36"/>
      <c r="M483" s="36"/>
    </row>
    <row r="484" spans="7:13" ht="15.75" customHeight="1">
      <c r="G484" s="11"/>
      <c r="K484" s="36"/>
      <c r="L484" s="36"/>
      <c r="M484" s="36"/>
    </row>
    <row r="485" spans="7:13" ht="15.75" customHeight="1">
      <c r="G485" s="11"/>
      <c r="K485" s="36"/>
      <c r="L485" s="36"/>
      <c r="M485" s="36"/>
    </row>
    <row r="486" spans="7:13" ht="15.75" customHeight="1">
      <c r="G486" s="11"/>
      <c r="K486" s="36"/>
      <c r="L486" s="36"/>
      <c r="M486" s="36"/>
    </row>
    <row r="487" spans="7:13" ht="15.75" customHeight="1">
      <c r="G487" s="11"/>
      <c r="K487" s="36"/>
      <c r="L487" s="36"/>
      <c r="M487" s="36"/>
    </row>
    <row r="488" spans="7:13" ht="15.75" customHeight="1">
      <c r="G488" s="11"/>
      <c r="K488" s="36"/>
      <c r="L488" s="36"/>
      <c r="M488" s="36"/>
    </row>
    <row r="489" spans="7:13" ht="15.75" customHeight="1">
      <c r="G489" s="11"/>
      <c r="K489" s="36"/>
      <c r="L489" s="36"/>
      <c r="M489" s="36"/>
    </row>
    <row r="490" spans="7:13" ht="15.75" customHeight="1">
      <c r="G490" s="11"/>
      <c r="K490" s="36"/>
      <c r="L490" s="36"/>
      <c r="M490" s="36"/>
    </row>
    <row r="491" spans="7:13" ht="15.75" customHeight="1">
      <c r="G491" s="11"/>
      <c r="K491" s="36"/>
      <c r="L491" s="36"/>
      <c r="M491" s="36"/>
    </row>
    <row r="492" spans="7:13" ht="15.75" customHeight="1">
      <c r="G492" s="11"/>
      <c r="K492" s="36"/>
      <c r="L492" s="36"/>
      <c r="M492" s="36"/>
    </row>
    <row r="493" spans="7:13" ht="15.75" customHeight="1">
      <c r="G493" s="11"/>
      <c r="K493" s="36"/>
      <c r="L493" s="36"/>
      <c r="M493" s="36"/>
    </row>
    <row r="494" spans="7:13" ht="15.75" customHeight="1">
      <c r="G494" s="11"/>
      <c r="K494" s="36"/>
      <c r="L494" s="36"/>
      <c r="M494" s="36"/>
    </row>
    <row r="495" spans="7:13" ht="15.75" customHeight="1">
      <c r="G495" s="11"/>
      <c r="K495" s="36"/>
      <c r="L495" s="36"/>
      <c r="M495" s="36"/>
    </row>
    <row r="496" spans="7:13" ht="15.75" customHeight="1">
      <c r="G496" s="11"/>
      <c r="K496" s="36"/>
      <c r="L496" s="36"/>
      <c r="M496" s="36"/>
    </row>
    <row r="497" spans="7:13" ht="15.75" customHeight="1">
      <c r="G497" s="11"/>
      <c r="K497" s="36"/>
      <c r="L497" s="36"/>
      <c r="M497" s="36"/>
    </row>
    <row r="498" spans="7:13" ht="15.75" customHeight="1">
      <c r="G498" s="11"/>
      <c r="K498" s="36"/>
      <c r="L498" s="36"/>
      <c r="M498" s="36"/>
    </row>
    <row r="499" spans="7:13" ht="15.75" customHeight="1">
      <c r="G499" s="11"/>
      <c r="K499" s="36"/>
      <c r="L499" s="36"/>
      <c r="M499" s="36"/>
    </row>
    <row r="500" spans="7:13" ht="15.75" customHeight="1">
      <c r="G500" s="11"/>
      <c r="K500" s="36"/>
      <c r="L500" s="36"/>
      <c r="M500" s="36"/>
    </row>
    <row r="501" spans="7:13" ht="15.75" customHeight="1">
      <c r="G501" s="11"/>
      <c r="K501" s="36"/>
      <c r="L501" s="36"/>
      <c r="M501" s="36"/>
    </row>
    <row r="502" spans="7:13" ht="15.75" customHeight="1">
      <c r="G502" s="11"/>
      <c r="K502" s="36"/>
      <c r="L502" s="36"/>
      <c r="M502" s="36"/>
    </row>
    <row r="503" spans="7:13" ht="15.75" customHeight="1">
      <c r="G503" s="11"/>
      <c r="K503" s="36"/>
      <c r="L503" s="36"/>
      <c r="M503" s="36"/>
    </row>
    <row r="504" spans="7:13" ht="15.75" customHeight="1">
      <c r="G504" s="11"/>
      <c r="K504" s="36"/>
      <c r="L504" s="36"/>
      <c r="M504" s="36"/>
    </row>
    <row r="505" spans="7:13" ht="15.75" customHeight="1">
      <c r="G505" s="11"/>
      <c r="K505" s="36"/>
      <c r="L505" s="36"/>
      <c r="M505" s="36"/>
    </row>
    <row r="506" spans="7:13" ht="15.75" customHeight="1">
      <c r="G506" s="11"/>
      <c r="K506" s="36"/>
      <c r="L506" s="36"/>
      <c r="M506" s="36"/>
    </row>
    <row r="507" spans="7:13" ht="15.75" customHeight="1">
      <c r="G507" s="11"/>
      <c r="K507" s="36"/>
      <c r="L507" s="36"/>
      <c r="M507" s="36"/>
    </row>
    <row r="508" spans="7:13" ht="15.75" customHeight="1">
      <c r="G508" s="11"/>
      <c r="K508" s="36"/>
      <c r="L508" s="36"/>
      <c r="M508" s="36"/>
    </row>
    <row r="509" spans="7:13" ht="15.75" customHeight="1">
      <c r="G509" s="11"/>
      <c r="K509" s="36"/>
      <c r="L509" s="36"/>
      <c r="M509" s="36"/>
    </row>
    <row r="510" spans="7:13" ht="15.75" customHeight="1">
      <c r="G510" s="11"/>
      <c r="K510" s="36"/>
      <c r="L510" s="36"/>
      <c r="M510" s="36"/>
    </row>
    <row r="511" spans="7:13" ht="15.75" customHeight="1">
      <c r="G511" s="11"/>
      <c r="K511" s="36"/>
      <c r="L511" s="36"/>
      <c r="M511" s="36"/>
    </row>
    <row r="512" spans="7:13" ht="15.75" customHeight="1">
      <c r="G512" s="11"/>
      <c r="K512" s="36"/>
      <c r="L512" s="36"/>
      <c r="M512" s="36"/>
    </row>
    <row r="513" spans="7:13" ht="15.75" customHeight="1">
      <c r="G513" s="11"/>
      <c r="K513" s="36"/>
      <c r="L513" s="36"/>
      <c r="M513" s="36"/>
    </row>
    <row r="514" spans="7:13" ht="15.75" customHeight="1">
      <c r="G514" s="11"/>
      <c r="K514" s="36"/>
      <c r="L514" s="36"/>
      <c r="M514" s="36"/>
    </row>
    <row r="515" spans="7:13" ht="15.75" customHeight="1">
      <c r="G515" s="11"/>
      <c r="K515" s="36"/>
      <c r="L515" s="36"/>
      <c r="M515" s="36"/>
    </row>
    <row r="516" spans="7:13" ht="15.75" customHeight="1">
      <c r="G516" s="11"/>
      <c r="K516" s="36"/>
      <c r="L516" s="36"/>
      <c r="M516" s="36"/>
    </row>
    <row r="517" spans="7:13" ht="15.75" customHeight="1">
      <c r="G517" s="11"/>
      <c r="K517" s="36"/>
      <c r="L517" s="36"/>
      <c r="M517" s="36"/>
    </row>
    <row r="518" spans="7:13" ht="15.75" customHeight="1">
      <c r="G518" s="11"/>
      <c r="K518" s="36"/>
      <c r="L518" s="36"/>
      <c r="M518" s="36"/>
    </row>
    <row r="519" spans="7:13" ht="15.75" customHeight="1">
      <c r="G519" s="11"/>
      <c r="K519" s="36"/>
      <c r="L519" s="36"/>
      <c r="M519" s="36"/>
    </row>
    <row r="520" spans="7:13" ht="15.75" customHeight="1">
      <c r="G520" s="11"/>
      <c r="K520" s="36"/>
      <c r="L520" s="36"/>
      <c r="M520" s="36"/>
    </row>
    <row r="521" spans="7:13" ht="15.75" customHeight="1">
      <c r="G521" s="11"/>
      <c r="K521" s="36"/>
      <c r="L521" s="36"/>
      <c r="M521" s="36"/>
    </row>
    <row r="522" spans="7:13" ht="15.75" customHeight="1">
      <c r="G522" s="11"/>
      <c r="K522" s="36"/>
      <c r="L522" s="36"/>
      <c r="M522" s="36"/>
    </row>
    <row r="523" spans="7:13" ht="15.75" customHeight="1">
      <c r="G523" s="11"/>
      <c r="K523" s="36"/>
      <c r="L523" s="36"/>
      <c r="M523" s="36"/>
    </row>
    <row r="524" spans="7:13" ht="15.75" customHeight="1">
      <c r="G524" s="11"/>
      <c r="K524" s="36"/>
      <c r="L524" s="36"/>
      <c r="M524" s="36"/>
    </row>
    <row r="525" spans="7:13" ht="15.75" customHeight="1">
      <c r="G525" s="11"/>
      <c r="K525" s="36"/>
      <c r="L525" s="36"/>
      <c r="M525" s="36"/>
    </row>
    <row r="526" spans="7:13" ht="15.75" customHeight="1">
      <c r="G526" s="11"/>
      <c r="K526" s="36"/>
      <c r="L526" s="36"/>
      <c r="M526" s="36"/>
    </row>
    <row r="527" spans="7:13" ht="15.75" customHeight="1">
      <c r="G527" s="11"/>
      <c r="K527" s="36"/>
      <c r="L527" s="36"/>
      <c r="M527" s="36"/>
    </row>
    <row r="528" spans="7:13" ht="15.75" customHeight="1">
      <c r="G528" s="11"/>
      <c r="K528" s="36"/>
      <c r="L528" s="36"/>
      <c r="M528" s="36"/>
    </row>
    <row r="529" spans="7:13" ht="15.75" customHeight="1">
      <c r="G529" s="11"/>
      <c r="K529" s="36"/>
      <c r="L529" s="36"/>
      <c r="M529" s="36"/>
    </row>
    <row r="530" spans="7:13" ht="15.75" customHeight="1">
      <c r="G530" s="11"/>
      <c r="K530" s="36"/>
      <c r="L530" s="36"/>
      <c r="M530" s="36"/>
    </row>
    <row r="531" spans="7:13" ht="15.75" customHeight="1">
      <c r="G531" s="11"/>
      <c r="K531" s="36"/>
      <c r="L531" s="36"/>
      <c r="M531" s="36"/>
    </row>
    <row r="532" spans="7:13" ht="15.75" customHeight="1">
      <c r="G532" s="11"/>
      <c r="K532" s="36"/>
      <c r="L532" s="36"/>
      <c r="M532" s="36"/>
    </row>
    <row r="533" spans="7:13" ht="15.75" customHeight="1">
      <c r="G533" s="11"/>
      <c r="K533" s="36"/>
      <c r="L533" s="36"/>
      <c r="M533" s="36"/>
    </row>
    <row r="534" spans="7:13" ht="15.75" customHeight="1">
      <c r="G534" s="11"/>
      <c r="K534" s="36"/>
      <c r="L534" s="36"/>
      <c r="M534" s="36"/>
    </row>
    <row r="535" spans="7:13" ht="15.75" customHeight="1">
      <c r="G535" s="11"/>
      <c r="K535" s="36"/>
      <c r="L535" s="36"/>
      <c r="M535" s="36"/>
    </row>
    <row r="536" spans="7:13" ht="15.75" customHeight="1">
      <c r="G536" s="11"/>
      <c r="K536" s="36"/>
      <c r="L536" s="36"/>
      <c r="M536" s="36"/>
    </row>
    <row r="537" spans="7:13" ht="15.75" customHeight="1">
      <c r="G537" s="11"/>
      <c r="K537" s="36"/>
      <c r="L537" s="36"/>
      <c r="M537" s="36"/>
    </row>
    <row r="538" spans="7:13" ht="15.75" customHeight="1">
      <c r="G538" s="11"/>
      <c r="K538" s="36"/>
      <c r="L538" s="36"/>
      <c r="M538" s="36"/>
    </row>
    <row r="539" spans="7:13" ht="15.75" customHeight="1">
      <c r="G539" s="11"/>
      <c r="K539" s="36"/>
      <c r="L539" s="36"/>
      <c r="M539" s="36"/>
    </row>
    <row r="540" spans="7:13" ht="15.75" customHeight="1">
      <c r="G540" s="11"/>
      <c r="K540" s="36"/>
      <c r="L540" s="36"/>
      <c r="M540" s="36"/>
    </row>
    <row r="541" spans="7:13" ht="15.75" customHeight="1">
      <c r="G541" s="11"/>
      <c r="K541" s="36"/>
      <c r="L541" s="36"/>
      <c r="M541" s="36"/>
    </row>
    <row r="542" spans="7:13" ht="15.75" customHeight="1">
      <c r="G542" s="11"/>
      <c r="K542" s="36"/>
      <c r="L542" s="36"/>
      <c r="M542" s="36"/>
    </row>
    <row r="543" spans="7:13" ht="15.75" customHeight="1">
      <c r="G543" s="11"/>
      <c r="K543" s="36"/>
      <c r="L543" s="36"/>
      <c r="M543" s="36"/>
    </row>
    <row r="544" spans="7:13" ht="15.75" customHeight="1">
      <c r="G544" s="11"/>
      <c r="K544" s="36"/>
      <c r="L544" s="36"/>
      <c r="M544" s="36"/>
    </row>
    <row r="545" spans="7:13" ht="15.75" customHeight="1">
      <c r="G545" s="11"/>
      <c r="K545" s="36"/>
      <c r="L545" s="36"/>
      <c r="M545" s="36"/>
    </row>
    <row r="546" spans="7:13" ht="15.75" customHeight="1">
      <c r="G546" s="11"/>
      <c r="K546" s="36"/>
      <c r="L546" s="36"/>
      <c r="M546" s="36"/>
    </row>
    <row r="547" spans="7:13" ht="15.75" customHeight="1">
      <c r="G547" s="11"/>
      <c r="K547" s="36"/>
      <c r="L547" s="36"/>
      <c r="M547" s="36"/>
    </row>
    <row r="548" spans="7:13" ht="15.75" customHeight="1">
      <c r="G548" s="11"/>
      <c r="K548" s="36"/>
      <c r="L548" s="36"/>
      <c r="M548" s="36"/>
    </row>
    <row r="549" spans="7:13" ht="15.75" customHeight="1">
      <c r="G549" s="11"/>
      <c r="K549" s="36"/>
      <c r="L549" s="36"/>
      <c r="M549" s="36"/>
    </row>
    <row r="550" spans="7:13" ht="15.75" customHeight="1">
      <c r="G550" s="11"/>
      <c r="K550" s="36"/>
      <c r="L550" s="36"/>
      <c r="M550" s="36"/>
    </row>
    <row r="551" spans="7:13" ht="15.75" customHeight="1">
      <c r="G551" s="11"/>
      <c r="K551" s="36"/>
      <c r="L551" s="36"/>
      <c r="M551" s="36"/>
    </row>
    <row r="552" spans="7:13" ht="15.75" customHeight="1">
      <c r="G552" s="11"/>
      <c r="K552" s="36"/>
      <c r="L552" s="36"/>
      <c r="M552" s="36"/>
    </row>
    <row r="553" spans="7:13" ht="15.75" customHeight="1">
      <c r="G553" s="11"/>
      <c r="K553" s="36"/>
      <c r="L553" s="36"/>
      <c r="M553" s="36"/>
    </row>
    <row r="554" spans="7:13" ht="15.75" customHeight="1">
      <c r="G554" s="11"/>
      <c r="K554" s="36"/>
      <c r="L554" s="36"/>
      <c r="M554" s="36"/>
    </row>
    <row r="555" spans="7:13" ht="15.75" customHeight="1">
      <c r="G555" s="11"/>
      <c r="K555" s="36"/>
      <c r="L555" s="36"/>
      <c r="M555" s="36"/>
    </row>
    <row r="556" spans="7:13" ht="15.75" customHeight="1">
      <c r="G556" s="11"/>
      <c r="K556" s="36"/>
      <c r="L556" s="36"/>
      <c r="M556" s="36"/>
    </row>
    <row r="557" spans="7:13" ht="15.75" customHeight="1">
      <c r="G557" s="11"/>
      <c r="K557" s="36"/>
      <c r="L557" s="36"/>
      <c r="M557" s="36"/>
    </row>
    <row r="558" spans="7:13" ht="15.75" customHeight="1">
      <c r="G558" s="11"/>
      <c r="K558" s="36"/>
      <c r="L558" s="36"/>
      <c r="M558" s="36"/>
    </row>
    <row r="559" spans="7:13" ht="15.75" customHeight="1">
      <c r="G559" s="11"/>
      <c r="K559" s="36"/>
      <c r="L559" s="36"/>
      <c r="M559" s="36"/>
    </row>
    <row r="560" spans="7:13" ht="15.75" customHeight="1">
      <c r="G560" s="11"/>
      <c r="K560" s="36"/>
      <c r="L560" s="36"/>
      <c r="M560" s="36"/>
    </row>
    <row r="561" spans="7:13" ht="15.75" customHeight="1">
      <c r="G561" s="11"/>
      <c r="K561" s="36"/>
      <c r="L561" s="36"/>
      <c r="M561" s="36"/>
    </row>
    <row r="562" spans="7:13" ht="15.75" customHeight="1">
      <c r="G562" s="11"/>
      <c r="K562" s="36"/>
      <c r="L562" s="36"/>
      <c r="M562" s="36"/>
    </row>
    <row r="563" spans="7:13" ht="15.75" customHeight="1">
      <c r="G563" s="11"/>
      <c r="K563" s="36"/>
      <c r="L563" s="36"/>
      <c r="M563" s="36"/>
    </row>
    <row r="564" spans="7:13" ht="15.75" customHeight="1">
      <c r="G564" s="11"/>
      <c r="K564" s="36"/>
      <c r="L564" s="36"/>
      <c r="M564" s="36"/>
    </row>
    <row r="565" spans="7:13" ht="15.75" customHeight="1">
      <c r="G565" s="11"/>
      <c r="K565" s="36"/>
      <c r="L565" s="36"/>
      <c r="M565" s="36"/>
    </row>
    <row r="566" spans="7:13" ht="15.75" customHeight="1">
      <c r="G566" s="11"/>
      <c r="K566" s="36"/>
      <c r="L566" s="36"/>
      <c r="M566" s="36"/>
    </row>
    <row r="567" spans="7:13" ht="15.75" customHeight="1">
      <c r="G567" s="11"/>
      <c r="K567" s="36"/>
      <c r="L567" s="36"/>
      <c r="M567" s="36"/>
    </row>
    <row r="568" spans="7:13" ht="15.75" customHeight="1">
      <c r="G568" s="11"/>
      <c r="K568" s="36"/>
      <c r="L568" s="36"/>
      <c r="M568" s="36"/>
    </row>
    <row r="569" spans="7:13" ht="15.75" customHeight="1">
      <c r="G569" s="11"/>
      <c r="K569" s="36"/>
      <c r="L569" s="36"/>
      <c r="M569" s="36"/>
    </row>
    <row r="570" spans="7:13" ht="15.75" customHeight="1">
      <c r="G570" s="11"/>
      <c r="K570" s="36"/>
      <c r="L570" s="36"/>
      <c r="M570" s="36"/>
    </row>
    <row r="571" spans="7:13" ht="15.75" customHeight="1">
      <c r="G571" s="11"/>
      <c r="K571" s="36"/>
      <c r="L571" s="36"/>
      <c r="M571" s="36"/>
    </row>
    <row r="572" spans="7:13" ht="15.75" customHeight="1">
      <c r="G572" s="11"/>
      <c r="K572" s="36"/>
      <c r="L572" s="36"/>
      <c r="M572" s="36"/>
    </row>
    <row r="573" spans="7:13" ht="15.75" customHeight="1">
      <c r="G573" s="11"/>
      <c r="K573" s="36"/>
      <c r="L573" s="36"/>
      <c r="M573" s="36"/>
    </row>
    <row r="574" spans="7:13" ht="15.75" customHeight="1">
      <c r="G574" s="11"/>
      <c r="K574" s="36"/>
      <c r="L574" s="36"/>
      <c r="M574" s="36"/>
    </row>
    <row r="575" spans="7:13" ht="15.75" customHeight="1">
      <c r="G575" s="11"/>
      <c r="K575" s="36"/>
      <c r="L575" s="36"/>
      <c r="M575" s="36"/>
    </row>
    <row r="576" spans="7:13" ht="15.75" customHeight="1">
      <c r="G576" s="11"/>
      <c r="K576" s="36"/>
      <c r="L576" s="36"/>
      <c r="M576" s="36"/>
    </row>
    <row r="577" spans="7:13" ht="15.75" customHeight="1">
      <c r="G577" s="11"/>
      <c r="K577" s="36"/>
      <c r="L577" s="36"/>
      <c r="M577" s="36"/>
    </row>
    <row r="578" spans="7:13" ht="15.75" customHeight="1">
      <c r="G578" s="11"/>
      <c r="K578" s="36"/>
      <c r="L578" s="36"/>
      <c r="M578" s="36"/>
    </row>
    <row r="579" spans="7:13" ht="15.75" customHeight="1">
      <c r="G579" s="11"/>
      <c r="K579" s="36"/>
      <c r="L579" s="36"/>
      <c r="M579" s="36"/>
    </row>
    <row r="580" spans="7:13" ht="15.75" customHeight="1">
      <c r="G580" s="11"/>
      <c r="K580" s="36"/>
      <c r="L580" s="36"/>
      <c r="M580" s="36"/>
    </row>
    <row r="581" spans="7:13" ht="15.75" customHeight="1">
      <c r="G581" s="11"/>
      <c r="K581" s="36"/>
      <c r="L581" s="36"/>
      <c r="M581" s="36"/>
    </row>
    <row r="582" spans="7:13" ht="15.75" customHeight="1">
      <c r="G582" s="11"/>
      <c r="K582" s="36"/>
      <c r="L582" s="36"/>
      <c r="M582" s="36"/>
    </row>
    <row r="583" spans="7:13" ht="15.75" customHeight="1">
      <c r="G583" s="11"/>
      <c r="K583" s="36"/>
      <c r="L583" s="36"/>
      <c r="M583" s="36"/>
    </row>
    <row r="584" spans="7:13" ht="15.75" customHeight="1">
      <c r="G584" s="11"/>
      <c r="K584" s="36"/>
      <c r="L584" s="36"/>
      <c r="M584" s="36"/>
    </row>
    <row r="585" spans="7:13" ht="15.75" customHeight="1">
      <c r="G585" s="11"/>
      <c r="K585" s="36"/>
      <c r="L585" s="36"/>
      <c r="M585" s="36"/>
    </row>
    <row r="586" spans="7:13" ht="15.75" customHeight="1">
      <c r="G586" s="11"/>
      <c r="K586" s="36"/>
      <c r="L586" s="36"/>
      <c r="M586" s="36"/>
    </row>
    <row r="587" spans="7:13" ht="15.75" customHeight="1">
      <c r="G587" s="11"/>
      <c r="K587" s="36"/>
      <c r="L587" s="36"/>
      <c r="M587" s="36"/>
    </row>
    <row r="588" spans="7:13" ht="15.75" customHeight="1">
      <c r="G588" s="11"/>
      <c r="K588" s="36"/>
      <c r="L588" s="36"/>
      <c r="M588" s="36"/>
    </row>
    <row r="589" spans="7:13" ht="15.75" customHeight="1">
      <c r="G589" s="11"/>
      <c r="K589" s="36"/>
      <c r="L589" s="36"/>
      <c r="M589" s="36"/>
    </row>
    <row r="590" spans="7:13" ht="15.75" customHeight="1">
      <c r="G590" s="11"/>
      <c r="K590" s="36"/>
      <c r="L590" s="36"/>
      <c r="M590" s="36"/>
    </row>
    <row r="591" spans="7:13" ht="15.75" customHeight="1">
      <c r="G591" s="11"/>
      <c r="K591" s="36"/>
      <c r="L591" s="36"/>
      <c r="M591" s="36"/>
    </row>
    <row r="592" spans="7:13" ht="15.75" customHeight="1">
      <c r="G592" s="11"/>
      <c r="K592" s="36"/>
      <c r="L592" s="36"/>
      <c r="M592" s="36"/>
    </row>
    <row r="593" spans="7:13" ht="15.75" customHeight="1">
      <c r="G593" s="11"/>
      <c r="K593" s="36"/>
      <c r="L593" s="36"/>
      <c r="M593" s="36"/>
    </row>
    <row r="594" spans="7:13" ht="15.75" customHeight="1">
      <c r="G594" s="11"/>
      <c r="K594" s="36"/>
      <c r="L594" s="36"/>
      <c r="M594" s="36"/>
    </row>
    <row r="595" spans="7:13" ht="15.75" customHeight="1">
      <c r="G595" s="11"/>
      <c r="K595" s="36"/>
      <c r="L595" s="36"/>
      <c r="M595" s="36"/>
    </row>
    <row r="596" spans="7:13" ht="15.75" customHeight="1">
      <c r="G596" s="11"/>
      <c r="K596" s="36"/>
      <c r="L596" s="36"/>
      <c r="M596" s="36"/>
    </row>
    <row r="597" spans="7:13" ht="15.75" customHeight="1">
      <c r="G597" s="11"/>
      <c r="K597" s="36"/>
      <c r="L597" s="36"/>
      <c r="M597" s="36"/>
    </row>
    <row r="598" spans="7:13" ht="15.75" customHeight="1">
      <c r="G598" s="11"/>
      <c r="K598" s="36"/>
      <c r="L598" s="36"/>
      <c r="M598" s="36"/>
    </row>
    <row r="599" spans="7:13" ht="15.75" customHeight="1">
      <c r="G599" s="11"/>
      <c r="K599" s="36"/>
      <c r="L599" s="36"/>
      <c r="M599" s="36"/>
    </row>
    <row r="600" spans="7:13" ht="15.75" customHeight="1">
      <c r="G600" s="11"/>
      <c r="K600" s="36"/>
      <c r="L600" s="36"/>
      <c r="M600" s="36"/>
    </row>
    <row r="601" spans="7:13" ht="15.75" customHeight="1">
      <c r="G601" s="11"/>
      <c r="K601" s="36"/>
      <c r="L601" s="36"/>
      <c r="M601" s="36"/>
    </row>
    <row r="602" spans="7:13" ht="15.75" customHeight="1">
      <c r="G602" s="11"/>
      <c r="K602" s="36"/>
      <c r="L602" s="36"/>
      <c r="M602" s="36"/>
    </row>
    <row r="603" spans="7:13" ht="15.75" customHeight="1">
      <c r="G603" s="11"/>
      <c r="K603" s="36"/>
      <c r="L603" s="36"/>
      <c r="M603" s="36"/>
    </row>
    <row r="604" spans="7:13" ht="15.75" customHeight="1">
      <c r="G604" s="11"/>
      <c r="K604" s="36"/>
      <c r="L604" s="36"/>
      <c r="M604" s="36"/>
    </row>
    <row r="605" spans="7:13" ht="15.75" customHeight="1">
      <c r="G605" s="11"/>
      <c r="K605" s="36"/>
      <c r="L605" s="36"/>
      <c r="M605" s="36"/>
    </row>
    <row r="606" spans="7:13" ht="15.75" customHeight="1">
      <c r="G606" s="11"/>
      <c r="K606" s="36"/>
      <c r="L606" s="36"/>
      <c r="M606" s="36"/>
    </row>
    <row r="607" spans="7:13" ht="15.75" customHeight="1">
      <c r="G607" s="11"/>
      <c r="K607" s="36"/>
      <c r="L607" s="36"/>
      <c r="M607" s="36"/>
    </row>
    <row r="608" spans="7:13" ht="15.75" customHeight="1">
      <c r="G608" s="11"/>
      <c r="K608" s="36"/>
      <c r="L608" s="36"/>
      <c r="M608" s="36"/>
    </row>
    <row r="609" spans="7:13" ht="15.75" customHeight="1">
      <c r="G609" s="11"/>
      <c r="K609" s="36"/>
      <c r="L609" s="36"/>
      <c r="M609" s="36"/>
    </row>
    <row r="610" spans="7:13" ht="15.75" customHeight="1">
      <c r="G610" s="11"/>
      <c r="K610" s="36"/>
      <c r="L610" s="36"/>
      <c r="M610" s="36"/>
    </row>
    <row r="611" spans="7:13" ht="15.75" customHeight="1">
      <c r="G611" s="11"/>
      <c r="K611" s="36"/>
      <c r="L611" s="36"/>
      <c r="M611" s="36"/>
    </row>
    <row r="612" spans="7:13" ht="15.75" customHeight="1">
      <c r="G612" s="11"/>
      <c r="K612" s="36"/>
      <c r="L612" s="36"/>
      <c r="M612" s="36"/>
    </row>
    <row r="613" spans="7:13" ht="15.75" customHeight="1">
      <c r="G613" s="11"/>
      <c r="K613" s="36"/>
      <c r="L613" s="36"/>
      <c r="M613" s="36"/>
    </row>
    <row r="614" spans="7:13" ht="15.75" customHeight="1">
      <c r="G614" s="11"/>
      <c r="K614" s="36"/>
      <c r="L614" s="36"/>
      <c r="M614" s="36"/>
    </row>
    <row r="615" spans="7:13" ht="15.75" customHeight="1">
      <c r="G615" s="11"/>
      <c r="K615" s="36"/>
      <c r="L615" s="36"/>
      <c r="M615" s="36"/>
    </row>
    <row r="616" spans="7:13" ht="15.75" customHeight="1">
      <c r="G616" s="11"/>
      <c r="K616" s="36"/>
      <c r="L616" s="36"/>
      <c r="M616" s="36"/>
    </row>
    <row r="617" spans="7:13" ht="15.75" customHeight="1">
      <c r="G617" s="11"/>
      <c r="K617" s="36"/>
      <c r="L617" s="36"/>
      <c r="M617" s="36"/>
    </row>
    <row r="618" spans="7:13" ht="15.75" customHeight="1">
      <c r="G618" s="11"/>
      <c r="K618" s="36"/>
      <c r="L618" s="36"/>
      <c r="M618" s="36"/>
    </row>
    <row r="619" spans="7:13" ht="15.75" customHeight="1">
      <c r="G619" s="11"/>
      <c r="K619" s="36"/>
      <c r="L619" s="36"/>
      <c r="M619" s="36"/>
    </row>
    <row r="620" spans="7:13" ht="15.75" customHeight="1">
      <c r="G620" s="11"/>
      <c r="K620" s="36"/>
      <c r="L620" s="36"/>
      <c r="M620" s="36"/>
    </row>
    <row r="621" spans="7:13" ht="15.75" customHeight="1">
      <c r="G621" s="11"/>
      <c r="K621" s="36"/>
      <c r="L621" s="36"/>
      <c r="M621" s="36"/>
    </row>
    <row r="622" spans="7:13" ht="15.75" customHeight="1">
      <c r="G622" s="11"/>
      <c r="K622" s="36"/>
      <c r="L622" s="36"/>
      <c r="M622" s="36"/>
    </row>
    <row r="623" spans="7:13" ht="15.75" customHeight="1">
      <c r="G623" s="11"/>
      <c r="K623" s="36"/>
      <c r="L623" s="36"/>
      <c r="M623" s="36"/>
    </row>
    <row r="624" spans="7:13" ht="15.75" customHeight="1">
      <c r="G624" s="11"/>
      <c r="K624" s="36"/>
      <c r="L624" s="36"/>
      <c r="M624" s="36"/>
    </row>
    <row r="625" spans="7:13" ht="15.75" customHeight="1">
      <c r="G625" s="11"/>
      <c r="K625" s="36"/>
      <c r="L625" s="36"/>
      <c r="M625" s="36"/>
    </row>
    <row r="626" spans="7:13" ht="15.75" customHeight="1">
      <c r="G626" s="11"/>
      <c r="K626" s="36"/>
      <c r="L626" s="36"/>
      <c r="M626" s="36"/>
    </row>
    <row r="627" spans="7:13" ht="15.75" customHeight="1">
      <c r="G627" s="11"/>
      <c r="K627" s="36"/>
      <c r="L627" s="36"/>
      <c r="M627" s="36"/>
    </row>
    <row r="628" spans="7:13" ht="15.75" customHeight="1">
      <c r="G628" s="11"/>
      <c r="K628" s="36"/>
      <c r="L628" s="36"/>
      <c r="M628" s="36"/>
    </row>
    <row r="629" spans="7:13" ht="15.75" customHeight="1">
      <c r="G629" s="11"/>
      <c r="K629" s="36"/>
      <c r="L629" s="36"/>
      <c r="M629" s="36"/>
    </row>
    <row r="630" spans="7:13" ht="15.75" customHeight="1">
      <c r="G630" s="11"/>
      <c r="K630" s="36"/>
      <c r="L630" s="36"/>
      <c r="M630" s="36"/>
    </row>
    <row r="631" spans="7:13" ht="15.75" customHeight="1">
      <c r="G631" s="11"/>
      <c r="K631" s="36"/>
      <c r="L631" s="36"/>
      <c r="M631" s="36"/>
    </row>
    <row r="632" spans="7:13" ht="15.75" customHeight="1">
      <c r="G632" s="11"/>
      <c r="K632" s="36"/>
      <c r="L632" s="36"/>
      <c r="M632" s="36"/>
    </row>
    <row r="633" spans="7:13" ht="15.75" customHeight="1">
      <c r="G633" s="11"/>
      <c r="K633" s="36"/>
      <c r="L633" s="36"/>
      <c r="M633" s="36"/>
    </row>
    <row r="634" spans="7:13" ht="15.75" customHeight="1">
      <c r="G634" s="11"/>
      <c r="K634" s="36"/>
      <c r="L634" s="36"/>
      <c r="M634" s="36"/>
    </row>
    <row r="635" spans="7:13" ht="15.75" customHeight="1">
      <c r="G635" s="11"/>
      <c r="K635" s="36"/>
      <c r="L635" s="36"/>
      <c r="M635" s="36"/>
    </row>
    <row r="636" spans="7:13" ht="15.75" customHeight="1">
      <c r="G636" s="11"/>
      <c r="K636" s="36"/>
      <c r="L636" s="36"/>
      <c r="M636" s="36"/>
    </row>
    <row r="637" spans="7:13" ht="15.75" customHeight="1">
      <c r="G637" s="11"/>
      <c r="K637" s="36"/>
      <c r="L637" s="36"/>
      <c r="M637" s="36"/>
    </row>
    <row r="638" spans="7:13" ht="15.75" customHeight="1">
      <c r="G638" s="11"/>
      <c r="K638" s="36"/>
      <c r="L638" s="36"/>
      <c r="M638" s="36"/>
    </row>
    <row r="639" spans="7:13" ht="15.75" customHeight="1">
      <c r="G639" s="11"/>
      <c r="K639" s="36"/>
      <c r="L639" s="36"/>
      <c r="M639" s="36"/>
    </row>
    <row r="640" spans="7:13" ht="15.75" customHeight="1">
      <c r="G640" s="11"/>
      <c r="K640" s="36"/>
      <c r="L640" s="36"/>
      <c r="M640" s="36"/>
    </row>
    <row r="641" spans="7:13" ht="15.75" customHeight="1">
      <c r="G641" s="11"/>
      <c r="K641" s="36"/>
      <c r="L641" s="36"/>
      <c r="M641" s="36"/>
    </row>
    <row r="642" spans="7:13" ht="15.75" customHeight="1">
      <c r="G642" s="11"/>
      <c r="K642" s="36"/>
      <c r="L642" s="36"/>
      <c r="M642" s="36"/>
    </row>
    <row r="643" spans="7:13" ht="15.75" customHeight="1">
      <c r="G643" s="11"/>
      <c r="K643" s="36"/>
      <c r="L643" s="36"/>
      <c r="M643" s="36"/>
    </row>
    <row r="644" spans="7:13" ht="15.75" customHeight="1">
      <c r="G644" s="11"/>
      <c r="K644" s="36"/>
      <c r="L644" s="36"/>
      <c r="M644" s="36"/>
    </row>
    <row r="645" spans="7:13" ht="15.75" customHeight="1">
      <c r="G645" s="11"/>
      <c r="K645" s="36"/>
      <c r="L645" s="36"/>
      <c r="M645" s="36"/>
    </row>
    <row r="646" spans="7:13" ht="15.75" customHeight="1">
      <c r="G646" s="11"/>
      <c r="K646" s="36"/>
      <c r="L646" s="36"/>
      <c r="M646" s="36"/>
    </row>
    <row r="647" spans="7:13" ht="15.75" customHeight="1">
      <c r="G647" s="11"/>
      <c r="K647" s="36"/>
      <c r="L647" s="36"/>
      <c r="M647" s="36"/>
    </row>
    <row r="648" spans="7:13" ht="15.75" customHeight="1">
      <c r="G648" s="11"/>
      <c r="K648" s="36"/>
      <c r="L648" s="36"/>
      <c r="M648" s="36"/>
    </row>
    <row r="649" spans="7:13" ht="15.75" customHeight="1">
      <c r="G649" s="11"/>
      <c r="K649" s="36"/>
      <c r="L649" s="36"/>
      <c r="M649" s="36"/>
    </row>
    <row r="650" spans="7:13" ht="15.75" customHeight="1">
      <c r="G650" s="11"/>
      <c r="K650" s="36"/>
      <c r="L650" s="36"/>
      <c r="M650" s="36"/>
    </row>
    <row r="651" spans="7:13" ht="15.75" customHeight="1">
      <c r="G651" s="11"/>
      <c r="K651" s="36"/>
      <c r="L651" s="36"/>
      <c r="M651" s="36"/>
    </row>
    <row r="652" spans="7:13" ht="15.75" customHeight="1">
      <c r="G652" s="11"/>
      <c r="K652" s="36"/>
      <c r="L652" s="36"/>
      <c r="M652" s="36"/>
    </row>
    <row r="653" spans="7:13" ht="15.75" customHeight="1">
      <c r="G653" s="11"/>
      <c r="K653" s="36"/>
      <c r="L653" s="36"/>
      <c r="M653" s="36"/>
    </row>
    <row r="654" spans="7:13" ht="15.75" customHeight="1">
      <c r="G654" s="11"/>
      <c r="K654" s="36"/>
      <c r="L654" s="36"/>
      <c r="M654" s="36"/>
    </row>
    <row r="655" spans="7:13" ht="15.75" customHeight="1">
      <c r="G655" s="11"/>
      <c r="K655" s="36"/>
      <c r="L655" s="36"/>
      <c r="M655" s="36"/>
    </row>
    <row r="656" spans="7:13" ht="15.75" customHeight="1">
      <c r="G656" s="11"/>
      <c r="K656" s="36"/>
      <c r="L656" s="36"/>
      <c r="M656" s="36"/>
    </row>
    <row r="657" spans="7:13" ht="15.75" customHeight="1">
      <c r="G657" s="11"/>
      <c r="K657" s="36"/>
      <c r="L657" s="36"/>
      <c r="M657" s="36"/>
    </row>
    <row r="658" spans="7:13" ht="15.75" customHeight="1">
      <c r="G658" s="11"/>
      <c r="K658" s="36"/>
      <c r="L658" s="36"/>
      <c r="M658" s="36"/>
    </row>
    <row r="659" spans="7:13" ht="15.75" customHeight="1">
      <c r="G659" s="11"/>
      <c r="K659" s="36"/>
      <c r="L659" s="36"/>
      <c r="M659" s="36"/>
    </row>
    <row r="660" spans="7:13" ht="15.75" customHeight="1">
      <c r="G660" s="11"/>
      <c r="K660" s="36"/>
      <c r="L660" s="36"/>
      <c r="M660" s="36"/>
    </row>
    <row r="661" spans="7:13" ht="15.75" customHeight="1">
      <c r="G661" s="11"/>
      <c r="K661" s="36"/>
      <c r="L661" s="36"/>
      <c r="M661" s="36"/>
    </row>
    <row r="662" spans="7:13" ht="15.75" customHeight="1">
      <c r="G662" s="11"/>
      <c r="K662" s="36"/>
      <c r="L662" s="36"/>
      <c r="M662" s="36"/>
    </row>
    <row r="663" spans="7:13" ht="15.75" customHeight="1">
      <c r="G663" s="11"/>
      <c r="K663" s="36"/>
      <c r="L663" s="36"/>
      <c r="M663" s="36"/>
    </row>
    <row r="664" spans="7:13" ht="15.75" customHeight="1">
      <c r="G664" s="11"/>
      <c r="K664" s="36"/>
      <c r="L664" s="36"/>
      <c r="M664" s="36"/>
    </row>
    <row r="665" spans="7:13" ht="15.75" customHeight="1">
      <c r="G665" s="11"/>
      <c r="K665" s="36"/>
      <c r="L665" s="36"/>
      <c r="M665" s="36"/>
    </row>
    <row r="666" spans="7:13" ht="15.75" customHeight="1">
      <c r="G666" s="11"/>
      <c r="K666" s="36"/>
      <c r="L666" s="36"/>
      <c r="M666" s="36"/>
    </row>
    <row r="667" spans="7:13" ht="15.75" customHeight="1">
      <c r="G667" s="11"/>
      <c r="K667" s="36"/>
      <c r="L667" s="36"/>
      <c r="M667" s="36"/>
    </row>
    <row r="668" spans="7:13" ht="15.75" customHeight="1">
      <c r="G668" s="11"/>
      <c r="K668" s="36"/>
      <c r="L668" s="36"/>
      <c r="M668" s="36"/>
    </row>
    <row r="669" spans="7:13" ht="15.75" customHeight="1">
      <c r="G669" s="11"/>
      <c r="K669" s="36"/>
      <c r="L669" s="36"/>
      <c r="M669" s="36"/>
    </row>
    <row r="670" spans="7:13" ht="15.75" customHeight="1">
      <c r="G670" s="11"/>
      <c r="K670" s="36"/>
      <c r="L670" s="36"/>
      <c r="M670" s="36"/>
    </row>
    <row r="671" spans="7:13" ht="15.75" customHeight="1">
      <c r="G671" s="11"/>
      <c r="K671" s="36"/>
      <c r="L671" s="36"/>
      <c r="M671" s="36"/>
    </row>
    <row r="672" spans="7:13" ht="15.75" customHeight="1">
      <c r="G672" s="11"/>
      <c r="K672" s="36"/>
      <c r="L672" s="36"/>
      <c r="M672" s="36"/>
    </row>
    <row r="673" spans="7:13" ht="15.75" customHeight="1">
      <c r="G673" s="11"/>
      <c r="K673" s="36"/>
      <c r="L673" s="36"/>
      <c r="M673" s="36"/>
    </row>
    <row r="674" spans="7:13" ht="15.75" customHeight="1">
      <c r="G674" s="11"/>
      <c r="K674" s="36"/>
      <c r="L674" s="36"/>
      <c r="M674" s="36"/>
    </row>
    <row r="675" spans="7:13" ht="15.75" customHeight="1">
      <c r="G675" s="11"/>
      <c r="K675" s="36"/>
      <c r="L675" s="36"/>
      <c r="M675" s="36"/>
    </row>
    <row r="676" spans="7:13" ht="15.75" customHeight="1">
      <c r="G676" s="11"/>
      <c r="K676" s="36"/>
      <c r="L676" s="36"/>
      <c r="M676" s="36"/>
    </row>
    <row r="677" spans="7:13" ht="15.75" customHeight="1">
      <c r="G677" s="11"/>
      <c r="K677" s="36"/>
      <c r="L677" s="36"/>
      <c r="M677" s="36"/>
    </row>
    <row r="678" spans="7:13" ht="15.75" customHeight="1">
      <c r="G678" s="11"/>
      <c r="K678" s="36"/>
      <c r="L678" s="36"/>
      <c r="M678" s="36"/>
    </row>
    <row r="679" spans="7:13" ht="15.75" customHeight="1">
      <c r="G679" s="11"/>
      <c r="K679" s="36"/>
      <c r="L679" s="36"/>
      <c r="M679" s="36"/>
    </row>
    <row r="680" spans="7:13" ht="15.75" customHeight="1">
      <c r="G680" s="11"/>
      <c r="K680" s="36"/>
      <c r="L680" s="36"/>
      <c r="M680" s="36"/>
    </row>
    <row r="681" spans="7:13" ht="15.75" customHeight="1">
      <c r="G681" s="11"/>
      <c r="K681" s="36"/>
      <c r="L681" s="36"/>
      <c r="M681" s="36"/>
    </row>
    <row r="682" spans="7:13" ht="15.75" customHeight="1">
      <c r="G682" s="11"/>
      <c r="K682" s="36"/>
      <c r="L682" s="36"/>
      <c r="M682" s="36"/>
    </row>
    <row r="683" spans="7:13" ht="15.75" customHeight="1">
      <c r="G683" s="11"/>
      <c r="K683" s="36"/>
      <c r="L683" s="36"/>
      <c r="M683" s="36"/>
    </row>
    <row r="684" spans="7:13" ht="15.75" customHeight="1">
      <c r="G684" s="11"/>
      <c r="K684" s="36"/>
      <c r="L684" s="36"/>
      <c r="M684" s="36"/>
    </row>
    <row r="685" spans="7:13" ht="15.75" customHeight="1">
      <c r="G685" s="11"/>
      <c r="K685" s="36"/>
      <c r="L685" s="36"/>
      <c r="M685" s="36"/>
    </row>
    <row r="686" spans="7:13" ht="15.75" customHeight="1">
      <c r="G686" s="11"/>
      <c r="K686" s="36"/>
      <c r="L686" s="36"/>
      <c r="M686" s="36"/>
    </row>
    <row r="687" spans="7:13" ht="15.75" customHeight="1">
      <c r="G687" s="11"/>
      <c r="K687" s="36"/>
      <c r="L687" s="36"/>
      <c r="M687" s="36"/>
    </row>
    <row r="688" spans="7:13" ht="15.75" customHeight="1">
      <c r="G688" s="11"/>
      <c r="K688" s="36"/>
      <c r="L688" s="36"/>
      <c r="M688" s="36"/>
    </row>
    <row r="689" spans="7:13" ht="15.75" customHeight="1">
      <c r="G689" s="11"/>
      <c r="K689" s="36"/>
      <c r="L689" s="36"/>
      <c r="M689" s="36"/>
    </row>
    <row r="690" spans="7:13" ht="15.75" customHeight="1">
      <c r="G690" s="11"/>
      <c r="K690" s="36"/>
      <c r="L690" s="36"/>
      <c r="M690" s="36"/>
    </row>
    <row r="691" spans="7:13" ht="15.75" customHeight="1">
      <c r="G691" s="11"/>
      <c r="K691" s="36"/>
      <c r="L691" s="36"/>
      <c r="M691" s="36"/>
    </row>
    <row r="692" spans="7:13" ht="15.75" customHeight="1">
      <c r="G692" s="11"/>
      <c r="K692" s="36"/>
      <c r="L692" s="36"/>
      <c r="M692" s="36"/>
    </row>
    <row r="693" spans="7:13" ht="15.75" customHeight="1">
      <c r="G693" s="11"/>
      <c r="K693" s="36"/>
      <c r="L693" s="36"/>
      <c r="M693" s="36"/>
    </row>
    <row r="694" spans="7:13" ht="15.75" customHeight="1">
      <c r="G694" s="11"/>
      <c r="K694" s="36"/>
      <c r="L694" s="36"/>
      <c r="M694" s="36"/>
    </row>
    <row r="695" spans="7:13" ht="15.75" customHeight="1">
      <c r="G695" s="11"/>
      <c r="K695" s="36"/>
      <c r="L695" s="36"/>
      <c r="M695" s="36"/>
    </row>
    <row r="696" spans="7:13" ht="15.75" customHeight="1">
      <c r="G696" s="11"/>
      <c r="K696" s="36"/>
      <c r="L696" s="36"/>
      <c r="M696" s="36"/>
    </row>
    <row r="697" spans="7:13" ht="15.75" customHeight="1">
      <c r="G697" s="11"/>
      <c r="K697" s="36"/>
      <c r="L697" s="36"/>
      <c r="M697" s="36"/>
    </row>
    <row r="698" spans="7:13" ht="15.75" customHeight="1">
      <c r="G698" s="11"/>
      <c r="K698" s="36"/>
      <c r="L698" s="36"/>
      <c r="M698" s="36"/>
    </row>
    <row r="699" spans="7:13" ht="15.75" customHeight="1">
      <c r="G699" s="11"/>
      <c r="K699" s="36"/>
      <c r="L699" s="36"/>
      <c r="M699" s="36"/>
    </row>
    <row r="700" spans="7:13" ht="15.75" customHeight="1">
      <c r="G700" s="11"/>
      <c r="K700" s="36"/>
      <c r="L700" s="36"/>
      <c r="M700" s="36"/>
    </row>
    <row r="701" spans="7:13" ht="15.75" customHeight="1">
      <c r="G701" s="11"/>
      <c r="K701" s="36"/>
      <c r="L701" s="36"/>
      <c r="M701" s="36"/>
    </row>
    <row r="702" spans="7:13" ht="15.75" customHeight="1">
      <c r="G702" s="11"/>
      <c r="K702" s="36"/>
      <c r="L702" s="36"/>
      <c r="M702" s="36"/>
    </row>
    <row r="703" spans="7:13" ht="15.75" customHeight="1">
      <c r="G703" s="11"/>
      <c r="K703" s="36"/>
      <c r="L703" s="36"/>
      <c r="M703" s="36"/>
    </row>
    <row r="704" spans="7:13" ht="15.75" customHeight="1">
      <c r="G704" s="11"/>
      <c r="K704" s="36"/>
      <c r="L704" s="36"/>
      <c r="M704" s="36"/>
    </row>
    <row r="705" spans="7:13" ht="15.75" customHeight="1">
      <c r="G705" s="11"/>
      <c r="K705" s="36"/>
      <c r="L705" s="36"/>
      <c r="M705" s="36"/>
    </row>
    <row r="706" spans="7:13" ht="15.75" customHeight="1">
      <c r="G706" s="11"/>
      <c r="K706" s="36"/>
      <c r="L706" s="36"/>
      <c r="M706" s="36"/>
    </row>
    <row r="707" spans="7:13" ht="15.75" customHeight="1">
      <c r="G707" s="11"/>
      <c r="K707" s="36"/>
      <c r="L707" s="36"/>
      <c r="M707" s="36"/>
    </row>
    <row r="708" spans="7:13" ht="15.75" customHeight="1">
      <c r="G708" s="11"/>
      <c r="K708" s="36"/>
      <c r="L708" s="36"/>
      <c r="M708" s="36"/>
    </row>
    <row r="709" spans="7:13" ht="15.75" customHeight="1">
      <c r="G709" s="11"/>
      <c r="K709" s="36"/>
      <c r="L709" s="36"/>
      <c r="M709" s="36"/>
    </row>
    <row r="710" spans="7:13" ht="15.75" customHeight="1">
      <c r="G710" s="11"/>
      <c r="K710" s="36"/>
      <c r="L710" s="36"/>
      <c r="M710" s="36"/>
    </row>
    <row r="711" spans="7:13" ht="15.75" customHeight="1">
      <c r="G711" s="11"/>
      <c r="K711" s="36"/>
      <c r="L711" s="36"/>
      <c r="M711" s="36"/>
    </row>
    <row r="712" spans="7:13" ht="15.75" customHeight="1">
      <c r="G712" s="11"/>
      <c r="K712" s="36"/>
      <c r="L712" s="36"/>
      <c r="M712" s="36"/>
    </row>
    <row r="713" spans="7:13" ht="15.75" customHeight="1">
      <c r="G713" s="11"/>
      <c r="K713" s="36"/>
      <c r="L713" s="36"/>
      <c r="M713" s="36"/>
    </row>
    <row r="714" spans="7:13" ht="15.75" customHeight="1">
      <c r="G714" s="11"/>
      <c r="K714" s="36"/>
      <c r="L714" s="36"/>
      <c r="M714" s="36"/>
    </row>
    <row r="715" spans="7:13" ht="15.75" customHeight="1">
      <c r="G715" s="11"/>
      <c r="K715" s="36"/>
      <c r="L715" s="36"/>
      <c r="M715" s="36"/>
    </row>
    <row r="716" spans="7:13" ht="15.75" customHeight="1">
      <c r="G716" s="11"/>
      <c r="K716" s="36"/>
      <c r="L716" s="36"/>
      <c r="M716" s="36"/>
    </row>
    <row r="717" spans="7:13" ht="15.75" customHeight="1">
      <c r="G717" s="11"/>
      <c r="K717" s="36"/>
      <c r="L717" s="36"/>
      <c r="M717" s="36"/>
    </row>
    <row r="718" spans="7:13" ht="15.75" customHeight="1">
      <c r="G718" s="11"/>
      <c r="K718" s="36"/>
      <c r="L718" s="36"/>
      <c r="M718" s="36"/>
    </row>
    <row r="719" spans="7:13" ht="15.75" customHeight="1">
      <c r="G719" s="11"/>
      <c r="K719" s="36"/>
      <c r="L719" s="36"/>
      <c r="M719" s="36"/>
    </row>
    <row r="720" spans="7:13" ht="15.75" customHeight="1">
      <c r="G720" s="11"/>
      <c r="K720" s="36"/>
      <c r="L720" s="36"/>
      <c r="M720" s="36"/>
    </row>
    <row r="721" spans="7:13" ht="15.75" customHeight="1">
      <c r="G721" s="11"/>
      <c r="K721" s="36"/>
      <c r="L721" s="36"/>
      <c r="M721" s="36"/>
    </row>
    <row r="722" spans="7:13" ht="15.75" customHeight="1">
      <c r="G722" s="11"/>
      <c r="K722" s="36"/>
      <c r="L722" s="36"/>
      <c r="M722" s="36"/>
    </row>
    <row r="723" spans="7:13" ht="15.75" customHeight="1">
      <c r="G723" s="11"/>
      <c r="K723" s="36"/>
      <c r="L723" s="36"/>
      <c r="M723" s="36"/>
    </row>
    <row r="724" spans="7:13" ht="15.75" customHeight="1">
      <c r="G724" s="11"/>
      <c r="K724" s="36"/>
      <c r="L724" s="36"/>
      <c r="M724" s="36"/>
    </row>
    <row r="725" spans="7:13" ht="15.75" customHeight="1">
      <c r="G725" s="11"/>
      <c r="K725" s="36"/>
      <c r="L725" s="36"/>
      <c r="M725" s="36"/>
    </row>
    <row r="726" spans="7:13" ht="15.75" customHeight="1">
      <c r="G726" s="11"/>
      <c r="K726" s="36"/>
      <c r="L726" s="36"/>
      <c r="M726" s="36"/>
    </row>
    <row r="727" spans="7:13" ht="15.75" customHeight="1">
      <c r="G727" s="11"/>
      <c r="K727" s="36"/>
      <c r="L727" s="36"/>
      <c r="M727" s="36"/>
    </row>
    <row r="728" spans="7:13" ht="15.75" customHeight="1">
      <c r="G728" s="11"/>
      <c r="K728" s="36"/>
      <c r="L728" s="36"/>
      <c r="M728" s="36"/>
    </row>
    <row r="729" spans="7:13" ht="15.75" customHeight="1">
      <c r="G729" s="11"/>
      <c r="K729" s="36"/>
      <c r="L729" s="36"/>
      <c r="M729" s="36"/>
    </row>
    <row r="730" spans="7:13" ht="15.75" customHeight="1">
      <c r="G730" s="11"/>
      <c r="K730" s="36"/>
      <c r="L730" s="36"/>
      <c r="M730" s="36"/>
    </row>
    <row r="731" spans="7:13" ht="15.75" customHeight="1">
      <c r="G731" s="11"/>
      <c r="K731" s="36"/>
      <c r="L731" s="36"/>
      <c r="M731" s="36"/>
    </row>
    <row r="732" spans="7:13" ht="15.75" customHeight="1">
      <c r="G732" s="11"/>
      <c r="K732" s="36"/>
      <c r="L732" s="36"/>
      <c r="M732" s="36"/>
    </row>
    <row r="733" spans="7:13" ht="15.75" customHeight="1">
      <c r="G733" s="11"/>
      <c r="K733" s="36"/>
      <c r="L733" s="36"/>
      <c r="M733" s="36"/>
    </row>
    <row r="734" spans="7:13" ht="15.75" customHeight="1">
      <c r="G734" s="11"/>
      <c r="K734" s="36"/>
      <c r="L734" s="36"/>
      <c r="M734" s="36"/>
    </row>
    <row r="735" spans="7:13" ht="15.75" customHeight="1">
      <c r="G735" s="11"/>
      <c r="K735" s="36"/>
      <c r="L735" s="36"/>
      <c r="M735" s="36"/>
    </row>
    <row r="736" spans="7:13" ht="15.75" customHeight="1">
      <c r="G736" s="11"/>
      <c r="K736" s="36"/>
      <c r="L736" s="36"/>
      <c r="M736" s="36"/>
    </row>
    <row r="737" spans="7:13" ht="15.75" customHeight="1">
      <c r="G737" s="11"/>
      <c r="K737" s="36"/>
      <c r="L737" s="36"/>
      <c r="M737" s="36"/>
    </row>
    <row r="738" spans="7:13" ht="15.75" customHeight="1">
      <c r="G738" s="11"/>
      <c r="K738" s="36"/>
      <c r="L738" s="36"/>
      <c r="M738" s="36"/>
    </row>
    <row r="739" spans="7:13" ht="15.75" customHeight="1">
      <c r="G739" s="11"/>
      <c r="K739" s="36"/>
      <c r="L739" s="36"/>
      <c r="M739" s="36"/>
    </row>
    <row r="740" spans="7:13" ht="15.75" customHeight="1">
      <c r="G740" s="11"/>
      <c r="K740" s="36"/>
      <c r="L740" s="36"/>
      <c r="M740" s="36"/>
    </row>
    <row r="741" spans="7:13" ht="15.75" customHeight="1">
      <c r="G741" s="11"/>
      <c r="K741" s="36"/>
      <c r="L741" s="36"/>
      <c r="M741" s="36"/>
    </row>
    <row r="742" spans="7:13" ht="15.75" customHeight="1">
      <c r="G742" s="11"/>
      <c r="K742" s="36"/>
      <c r="L742" s="36"/>
      <c r="M742" s="36"/>
    </row>
    <row r="743" spans="7:13" ht="15.75" customHeight="1">
      <c r="G743" s="11"/>
      <c r="K743" s="36"/>
      <c r="L743" s="36"/>
      <c r="M743" s="36"/>
    </row>
    <row r="744" spans="7:13" ht="15.75" customHeight="1">
      <c r="G744" s="11"/>
      <c r="K744" s="36"/>
      <c r="L744" s="36"/>
      <c r="M744" s="36"/>
    </row>
    <row r="745" spans="7:13" ht="15.75" customHeight="1">
      <c r="G745" s="11"/>
      <c r="K745" s="36"/>
      <c r="L745" s="36"/>
      <c r="M745" s="36"/>
    </row>
    <row r="746" spans="7:13" ht="15.75" customHeight="1">
      <c r="G746" s="11"/>
      <c r="K746" s="36"/>
      <c r="L746" s="36"/>
      <c r="M746" s="36"/>
    </row>
    <row r="747" spans="7:13" ht="15.75" customHeight="1">
      <c r="G747" s="11"/>
      <c r="K747" s="36"/>
      <c r="L747" s="36"/>
      <c r="M747" s="36"/>
    </row>
    <row r="748" spans="7:13" ht="15.75" customHeight="1">
      <c r="G748" s="11"/>
      <c r="K748" s="36"/>
      <c r="L748" s="36"/>
      <c r="M748" s="36"/>
    </row>
    <row r="749" spans="7:13" ht="15.75" customHeight="1">
      <c r="G749" s="11"/>
      <c r="K749" s="36"/>
      <c r="L749" s="36"/>
      <c r="M749" s="36"/>
    </row>
    <row r="750" spans="7:13" ht="15.75" customHeight="1">
      <c r="G750" s="11"/>
      <c r="K750" s="36"/>
      <c r="L750" s="36"/>
      <c r="M750" s="36"/>
    </row>
    <row r="751" spans="7:13" ht="15.75" customHeight="1">
      <c r="G751" s="11"/>
      <c r="K751" s="36"/>
      <c r="L751" s="36"/>
      <c r="M751" s="36"/>
    </row>
    <row r="752" spans="7:13" ht="15.75" customHeight="1">
      <c r="G752" s="11"/>
      <c r="K752" s="36"/>
      <c r="L752" s="36"/>
      <c r="M752" s="36"/>
    </row>
    <row r="753" spans="7:13" ht="15.75" customHeight="1">
      <c r="G753" s="11"/>
      <c r="K753" s="36"/>
      <c r="L753" s="36"/>
      <c r="M753" s="36"/>
    </row>
    <row r="754" spans="7:13" ht="15.75" customHeight="1">
      <c r="G754" s="11"/>
      <c r="K754" s="36"/>
      <c r="L754" s="36"/>
      <c r="M754" s="36"/>
    </row>
    <row r="755" spans="7:13" ht="15.75" customHeight="1">
      <c r="G755" s="11"/>
      <c r="K755" s="36"/>
      <c r="L755" s="36"/>
      <c r="M755" s="36"/>
    </row>
    <row r="756" spans="7:13" ht="15.75" customHeight="1">
      <c r="G756" s="11"/>
      <c r="K756" s="36"/>
      <c r="L756" s="36"/>
      <c r="M756" s="36"/>
    </row>
    <row r="757" spans="7:13" ht="15.75" customHeight="1">
      <c r="G757" s="11"/>
      <c r="K757" s="36"/>
      <c r="L757" s="36"/>
      <c r="M757" s="36"/>
    </row>
    <row r="758" spans="7:13" ht="15.75" customHeight="1">
      <c r="G758" s="11"/>
      <c r="K758" s="36"/>
      <c r="L758" s="36"/>
      <c r="M758" s="36"/>
    </row>
    <row r="759" spans="7:13" ht="15.75" customHeight="1">
      <c r="G759" s="11"/>
      <c r="K759" s="36"/>
      <c r="L759" s="36"/>
      <c r="M759" s="36"/>
    </row>
    <row r="760" spans="7:13" ht="15.75" customHeight="1">
      <c r="G760" s="11"/>
      <c r="K760" s="36"/>
      <c r="L760" s="36"/>
      <c r="M760" s="36"/>
    </row>
    <row r="761" spans="7:13" ht="15.75" customHeight="1">
      <c r="G761" s="11"/>
      <c r="K761" s="36"/>
      <c r="L761" s="36"/>
      <c r="M761" s="36"/>
    </row>
    <row r="762" spans="7:13" ht="15.75" customHeight="1">
      <c r="G762" s="11"/>
      <c r="K762" s="36"/>
      <c r="L762" s="36"/>
      <c r="M762" s="36"/>
    </row>
    <row r="763" spans="7:13" ht="15.75" customHeight="1">
      <c r="G763" s="11"/>
      <c r="K763" s="36"/>
      <c r="L763" s="36"/>
      <c r="M763" s="36"/>
    </row>
    <row r="764" spans="7:13" ht="15.75" customHeight="1">
      <c r="G764" s="11"/>
      <c r="K764" s="36"/>
      <c r="L764" s="36"/>
      <c r="M764" s="36"/>
    </row>
    <row r="765" spans="7:13" ht="15.75" customHeight="1">
      <c r="G765" s="11"/>
      <c r="K765" s="36"/>
      <c r="L765" s="36"/>
      <c r="M765" s="36"/>
    </row>
    <row r="766" spans="7:13" ht="15.75" customHeight="1">
      <c r="G766" s="11"/>
      <c r="K766" s="36"/>
      <c r="L766" s="36"/>
      <c r="M766" s="36"/>
    </row>
    <row r="767" spans="7:13" ht="15.75" customHeight="1">
      <c r="G767" s="11"/>
      <c r="K767" s="36"/>
      <c r="L767" s="36"/>
      <c r="M767" s="36"/>
    </row>
    <row r="768" spans="7:13" ht="15.75" customHeight="1">
      <c r="G768" s="11"/>
      <c r="K768" s="36"/>
      <c r="L768" s="36"/>
      <c r="M768" s="36"/>
    </row>
    <row r="769" spans="7:13" ht="15.75" customHeight="1">
      <c r="G769" s="11"/>
      <c r="K769" s="36"/>
      <c r="L769" s="36"/>
      <c r="M769" s="36"/>
    </row>
    <row r="770" spans="7:13" ht="15.75" customHeight="1">
      <c r="G770" s="11"/>
      <c r="K770" s="36"/>
      <c r="L770" s="36"/>
      <c r="M770" s="36"/>
    </row>
    <row r="771" spans="7:13" ht="15.75" customHeight="1">
      <c r="G771" s="11"/>
      <c r="K771" s="36"/>
      <c r="L771" s="36"/>
      <c r="M771" s="36"/>
    </row>
    <row r="772" spans="7:13" ht="15.75" customHeight="1">
      <c r="G772" s="11"/>
      <c r="K772" s="36"/>
      <c r="L772" s="36"/>
      <c r="M772" s="36"/>
    </row>
    <row r="773" spans="7:13" ht="15.75" customHeight="1">
      <c r="G773" s="11"/>
      <c r="K773" s="36"/>
      <c r="L773" s="36"/>
      <c r="M773" s="36"/>
    </row>
    <row r="774" spans="7:13" ht="15.75" customHeight="1">
      <c r="G774" s="11"/>
      <c r="K774" s="36"/>
      <c r="L774" s="36"/>
      <c r="M774" s="36"/>
    </row>
    <row r="775" spans="7:13" ht="15.75" customHeight="1">
      <c r="G775" s="11"/>
      <c r="K775" s="36"/>
      <c r="L775" s="36"/>
      <c r="M775" s="36"/>
    </row>
    <row r="776" spans="7:13" ht="15.75" customHeight="1">
      <c r="G776" s="11"/>
      <c r="K776" s="36"/>
      <c r="L776" s="36"/>
      <c r="M776" s="36"/>
    </row>
    <row r="777" spans="7:13" ht="15.75" customHeight="1">
      <c r="G777" s="11"/>
      <c r="K777" s="36"/>
      <c r="L777" s="36"/>
      <c r="M777" s="36"/>
    </row>
    <row r="778" spans="7:13" ht="15.75" customHeight="1">
      <c r="G778" s="11"/>
      <c r="K778" s="36"/>
      <c r="L778" s="36"/>
      <c r="M778" s="36"/>
    </row>
    <row r="779" spans="7:13" ht="15.75" customHeight="1">
      <c r="G779" s="11"/>
      <c r="K779" s="36"/>
      <c r="L779" s="36"/>
      <c r="M779" s="36"/>
    </row>
    <row r="780" spans="7:13" ht="15.75" customHeight="1">
      <c r="G780" s="11"/>
      <c r="K780" s="36"/>
      <c r="L780" s="36"/>
      <c r="M780" s="36"/>
    </row>
    <row r="781" spans="7:13" ht="15.75" customHeight="1">
      <c r="G781" s="11"/>
      <c r="K781" s="36"/>
      <c r="L781" s="36"/>
      <c r="M781" s="36"/>
    </row>
    <row r="782" spans="7:13" ht="15.75" customHeight="1">
      <c r="G782" s="11"/>
      <c r="K782" s="36"/>
      <c r="L782" s="36"/>
      <c r="M782" s="36"/>
    </row>
    <row r="783" spans="7:13" ht="15.75" customHeight="1">
      <c r="G783" s="11"/>
      <c r="K783" s="36"/>
      <c r="L783" s="36"/>
      <c r="M783" s="36"/>
    </row>
    <row r="784" spans="7:13" ht="15.75" customHeight="1">
      <c r="G784" s="11"/>
      <c r="K784" s="36"/>
      <c r="L784" s="36"/>
      <c r="M784" s="36"/>
    </row>
    <row r="785" spans="7:13" ht="15.75" customHeight="1">
      <c r="G785" s="11"/>
      <c r="K785" s="36"/>
      <c r="L785" s="36"/>
      <c r="M785" s="36"/>
    </row>
    <row r="786" spans="7:13" ht="15.75" customHeight="1">
      <c r="G786" s="11"/>
      <c r="K786" s="36"/>
      <c r="L786" s="36"/>
      <c r="M786" s="36"/>
    </row>
    <row r="787" spans="7:13" ht="15.75" customHeight="1">
      <c r="G787" s="11"/>
      <c r="K787" s="36"/>
      <c r="L787" s="36"/>
      <c r="M787" s="36"/>
    </row>
    <row r="788" spans="7:13" ht="15.75" customHeight="1">
      <c r="G788" s="11"/>
      <c r="K788" s="36"/>
      <c r="L788" s="36"/>
      <c r="M788" s="36"/>
    </row>
    <row r="789" spans="7:13" ht="15.75" customHeight="1">
      <c r="G789" s="11"/>
      <c r="K789" s="36"/>
      <c r="L789" s="36"/>
      <c r="M789" s="36"/>
    </row>
    <row r="790" spans="7:13" ht="15.75" customHeight="1">
      <c r="G790" s="11"/>
      <c r="K790" s="36"/>
      <c r="L790" s="36"/>
      <c r="M790" s="36"/>
    </row>
    <row r="791" spans="7:13" ht="15.75" customHeight="1">
      <c r="G791" s="11"/>
      <c r="K791" s="36"/>
      <c r="L791" s="36"/>
      <c r="M791" s="36"/>
    </row>
    <row r="792" spans="7:13" ht="15.75" customHeight="1">
      <c r="G792" s="11"/>
      <c r="K792" s="36"/>
      <c r="L792" s="36"/>
      <c r="M792" s="36"/>
    </row>
    <row r="793" spans="7:13" ht="15.75" customHeight="1">
      <c r="G793" s="11"/>
      <c r="K793" s="36"/>
      <c r="L793" s="36"/>
      <c r="M793" s="36"/>
    </row>
    <row r="794" spans="7:13" ht="15.75" customHeight="1">
      <c r="G794" s="11"/>
      <c r="K794" s="36"/>
      <c r="L794" s="36"/>
      <c r="M794" s="36"/>
    </row>
    <row r="795" spans="7:13" ht="15.75" customHeight="1">
      <c r="G795" s="11"/>
      <c r="K795" s="36"/>
      <c r="L795" s="36"/>
      <c r="M795" s="36"/>
    </row>
    <row r="796" spans="7:13" ht="15.75" customHeight="1">
      <c r="G796" s="11"/>
      <c r="K796" s="36"/>
      <c r="L796" s="36"/>
      <c r="M796" s="36"/>
    </row>
    <row r="797" spans="7:13" ht="15.75" customHeight="1">
      <c r="G797" s="11"/>
      <c r="K797" s="36"/>
      <c r="L797" s="36"/>
      <c r="M797" s="36"/>
    </row>
    <row r="798" spans="7:13" ht="15.75" customHeight="1">
      <c r="G798" s="11"/>
      <c r="K798" s="36"/>
      <c r="L798" s="36"/>
      <c r="M798" s="36"/>
    </row>
    <row r="799" spans="7:13" ht="15.75" customHeight="1">
      <c r="G799" s="11"/>
      <c r="K799" s="36"/>
      <c r="L799" s="36"/>
      <c r="M799" s="36"/>
    </row>
    <row r="800" spans="7:13" ht="15.75" customHeight="1">
      <c r="G800" s="11"/>
      <c r="K800" s="36"/>
      <c r="L800" s="36"/>
      <c r="M800" s="36"/>
    </row>
    <row r="801" spans="7:13" ht="15.75" customHeight="1">
      <c r="G801" s="11"/>
      <c r="K801" s="36"/>
      <c r="L801" s="36"/>
      <c r="M801" s="36"/>
    </row>
    <row r="802" spans="7:13" ht="15.75" customHeight="1">
      <c r="G802" s="11"/>
      <c r="K802" s="36"/>
      <c r="L802" s="36"/>
      <c r="M802" s="36"/>
    </row>
    <row r="803" spans="7:13" ht="15.75" customHeight="1">
      <c r="G803" s="11"/>
      <c r="K803" s="36"/>
      <c r="L803" s="36"/>
      <c r="M803" s="36"/>
    </row>
    <row r="804" spans="7:13" ht="15.75" customHeight="1">
      <c r="G804" s="11"/>
      <c r="K804" s="36"/>
      <c r="L804" s="36"/>
      <c r="M804" s="36"/>
    </row>
    <row r="805" spans="7:13" ht="15.75" customHeight="1">
      <c r="G805" s="11"/>
      <c r="K805" s="36"/>
      <c r="L805" s="36"/>
      <c r="M805" s="36"/>
    </row>
    <row r="806" spans="7:13" ht="15.75" customHeight="1">
      <c r="G806" s="11"/>
      <c r="K806" s="36"/>
      <c r="L806" s="36"/>
      <c r="M806" s="36"/>
    </row>
    <row r="807" spans="7:13" ht="15.75" customHeight="1">
      <c r="G807" s="11"/>
      <c r="K807" s="36"/>
      <c r="L807" s="36"/>
      <c r="M807" s="36"/>
    </row>
    <row r="808" spans="7:13" ht="15.75" customHeight="1">
      <c r="G808" s="11"/>
      <c r="K808" s="36"/>
      <c r="L808" s="36"/>
      <c r="M808" s="36"/>
    </row>
    <row r="809" spans="7:13" ht="15.75" customHeight="1">
      <c r="G809" s="11"/>
      <c r="K809" s="36"/>
      <c r="L809" s="36"/>
      <c r="M809" s="36"/>
    </row>
    <row r="810" spans="7:13" ht="15.75" customHeight="1">
      <c r="G810" s="11"/>
      <c r="K810" s="36"/>
      <c r="L810" s="36"/>
      <c r="M810" s="36"/>
    </row>
    <row r="811" spans="7:13" ht="15.75" customHeight="1">
      <c r="G811" s="11"/>
      <c r="K811" s="36"/>
      <c r="L811" s="36"/>
      <c r="M811" s="36"/>
    </row>
    <row r="812" spans="7:13" ht="15.75" customHeight="1">
      <c r="G812" s="11"/>
      <c r="K812" s="36"/>
      <c r="L812" s="36"/>
      <c r="M812" s="36"/>
    </row>
    <row r="813" spans="7:13" ht="15.75" customHeight="1">
      <c r="G813" s="11"/>
      <c r="K813" s="36"/>
      <c r="L813" s="36"/>
      <c r="M813" s="36"/>
    </row>
    <row r="814" spans="7:13" ht="15.75" customHeight="1">
      <c r="G814" s="11"/>
      <c r="K814" s="36"/>
      <c r="L814" s="36"/>
      <c r="M814" s="36"/>
    </row>
    <row r="815" spans="7:13" ht="15.75" customHeight="1">
      <c r="G815" s="11"/>
      <c r="K815" s="36"/>
      <c r="L815" s="36"/>
      <c r="M815" s="36"/>
    </row>
    <row r="816" spans="7:13" ht="15.75" customHeight="1">
      <c r="G816" s="11"/>
      <c r="K816" s="36"/>
      <c r="L816" s="36"/>
      <c r="M816" s="36"/>
    </row>
    <row r="817" spans="7:13" ht="15.75" customHeight="1">
      <c r="G817" s="11"/>
      <c r="K817" s="36"/>
      <c r="L817" s="36"/>
      <c r="M817" s="36"/>
    </row>
    <row r="818" spans="7:13" ht="15.75" customHeight="1">
      <c r="G818" s="11"/>
      <c r="K818" s="36"/>
      <c r="L818" s="36"/>
      <c r="M818" s="36"/>
    </row>
    <row r="819" spans="7:13" ht="15.75" customHeight="1">
      <c r="G819" s="11"/>
      <c r="K819" s="36"/>
      <c r="L819" s="36"/>
      <c r="M819" s="36"/>
    </row>
    <row r="820" spans="7:13" ht="15.75" customHeight="1">
      <c r="G820" s="11"/>
      <c r="K820" s="36"/>
      <c r="L820" s="36"/>
      <c r="M820" s="36"/>
    </row>
    <row r="821" spans="7:13" ht="15.75" customHeight="1">
      <c r="G821" s="11"/>
      <c r="K821" s="36"/>
      <c r="L821" s="36"/>
      <c r="M821" s="36"/>
    </row>
    <row r="822" spans="7:13" ht="15.75" customHeight="1">
      <c r="G822" s="11"/>
      <c r="K822" s="36"/>
      <c r="L822" s="36"/>
      <c r="M822" s="36"/>
    </row>
    <row r="823" spans="7:13" ht="15.75" customHeight="1">
      <c r="G823" s="11"/>
      <c r="K823" s="36"/>
      <c r="L823" s="36"/>
      <c r="M823" s="36"/>
    </row>
    <row r="824" spans="7:13" ht="15.75" customHeight="1">
      <c r="G824" s="11"/>
      <c r="K824" s="36"/>
      <c r="L824" s="36"/>
      <c r="M824" s="36"/>
    </row>
    <row r="825" spans="7:13" ht="15.75" customHeight="1">
      <c r="G825" s="11"/>
      <c r="K825" s="36"/>
      <c r="L825" s="36"/>
      <c r="M825" s="36"/>
    </row>
    <row r="826" spans="7:13" ht="15.75" customHeight="1">
      <c r="G826" s="11"/>
      <c r="K826" s="36"/>
      <c r="L826" s="36"/>
      <c r="M826" s="36"/>
    </row>
    <row r="827" spans="7:13" ht="15.75" customHeight="1">
      <c r="G827" s="11"/>
      <c r="K827" s="36"/>
      <c r="L827" s="36"/>
      <c r="M827" s="36"/>
    </row>
    <row r="828" spans="7:13" ht="15.75" customHeight="1">
      <c r="G828" s="11"/>
      <c r="K828" s="36"/>
      <c r="L828" s="36"/>
      <c r="M828" s="36"/>
    </row>
    <row r="829" spans="7:13" ht="15.75" customHeight="1">
      <c r="G829" s="11"/>
      <c r="K829" s="36"/>
      <c r="L829" s="36"/>
      <c r="M829" s="36"/>
    </row>
    <row r="830" spans="7:13" ht="15.75" customHeight="1">
      <c r="G830" s="11"/>
      <c r="K830" s="36"/>
      <c r="L830" s="36"/>
      <c r="M830" s="36"/>
    </row>
    <row r="831" spans="7:13" ht="15.75" customHeight="1">
      <c r="G831" s="11"/>
      <c r="K831" s="36"/>
      <c r="L831" s="36"/>
      <c r="M831" s="36"/>
    </row>
    <row r="832" spans="7:13" ht="15.75" customHeight="1">
      <c r="G832" s="11"/>
      <c r="K832" s="36"/>
      <c r="L832" s="36"/>
      <c r="M832" s="36"/>
    </row>
    <row r="833" spans="7:13" ht="15.75" customHeight="1">
      <c r="G833" s="11"/>
      <c r="K833" s="36"/>
      <c r="L833" s="36"/>
      <c r="M833" s="36"/>
    </row>
    <row r="834" spans="7:13" ht="15.75" customHeight="1">
      <c r="G834" s="11"/>
      <c r="K834" s="36"/>
      <c r="L834" s="36"/>
      <c r="M834" s="36"/>
    </row>
    <row r="835" spans="7:13" ht="15.75" customHeight="1">
      <c r="G835" s="11"/>
      <c r="K835" s="36"/>
      <c r="L835" s="36"/>
      <c r="M835" s="36"/>
    </row>
    <row r="836" spans="7:13" ht="15.75" customHeight="1">
      <c r="G836" s="11"/>
      <c r="K836" s="36"/>
      <c r="L836" s="36"/>
      <c r="M836" s="36"/>
    </row>
    <row r="837" spans="7:13" ht="15.75" customHeight="1">
      <c r="G837" s="11"/>
      <c r="K837" s="36"/>
      <c r="L837" s="36"/>
      <c r="M837" s="36"/>
    </row>
    <row r="838" spans="7:13" ht="15.75" customHeight="1">
      <c r="G838" s="11"/>
      <c r="K838" s="36"/>
      <c r="L838" s="36"/>
      <c r="M838" s="36"/>
    </row>
    <row r="839" spans="7:13" ht="15.75" customHeight="1">
      <c r="G839" s="11"/>
      <c r="K839" s="36"/>
      <c r="L839" s="36"/>
      <c r="M839" s="36"/>
    </row>
    <row r="840" spans="7:13" ht="15.75" customHeight="1">
      <c r="G840" s="11"/>
      <c r="K840" s="36"/>
      <c r="L840" s="36"/>
      <c r="M840" s="36"/>
    </row>
    <row r="841" spans="7:13" ht="15.75" customHeight="1">
      <c r="G841" s="11"/>
      <c r="K841" s="36"/>
      <c r="L841" s="36"/>
      <c r="M841" s="36"/>
    </row>
    <row r="842" spans="7:13" ht="15.75" customHeight="1">
      <c r="G842" s="11"/>
      <c r="K842" s="36"/>
      <c r="L842" s="36"/>
      <c r="M842" s="36"/>
    </row>
    <row r="843" spans="7:13" ht="15.75" customHeight="1">
      <c r="G843" s="11"/>
      <c r="K843" s="36"/>
      <c r="L843" s="36"/>
      <c r="M843" s="36"/>
    </row>
    <row r="844" spans="7:13" ht="15.75" customHeight="1">
      <c r="G844" s="11"/>
      <c r="K844" s="36"/>
      <c r="L844" s="36"/>
      <c r="M844" s="36"/>
    </row>
    <row r="845" spans="7:13" ht="15.75" customHeight="1">
      <c r="G845" s="11"/>
      <c r="K845" s="36"/>
      <c r="L845" s="36"/>
      <c r="M845" s="36"/>
    </row>
    <row r="846" spans="7:13" ht="15.75" customHeight="1">
      <c r="G846" s="11"/>
      <c r="K846" s="36"/>
      <c r="L846" s="36"/>
      <c r="M846" s="36"/>
    </row>
    <row r="847" spans="7:13" ht="15.75" customHeight="1">
      <c r="G847" s="11"/>
      <c r="K847" s="36"/>
      <c r="L847" s="36"/>
      <c r="M847" s="36"/>
    </row>
    <row r="848" spans="7:13" ht="15.75" customHeight="1">
      <c r="G848" s="11"/>
      <c r="K848" s="36"/>
      <c r="L848" s="36"/>
      <c r="M848" s="36"/>
    </row>
    <row r="849" spans="7:13" ht="15.75" customHeight="1">
      <c r="G849" s="11"/>
      <c r="K849" s="36"/>
      <c r="L849" s="36"/>
      <c r="M849" s="36"/>
    </row>
    <row r="850" spans="7:13" ht="15.75" customHeight="1">
      <c r="G850" s="11"/>
      <c r="K850" s="36"/>
      <c r="L850" s="36"/>
      <c r="M850" s="36"/>
    </row>
    <row r="851" spans="7:13" ht="15.75" customHeight="1">
      <c r="G851" s="11"/>
      <c r="K851" s="36"/>
      <c r="L851" s="36"/>
      <c r="M851" s="36"/>
    </row>
    <row r="852" spans="7:13" ht="15.75" customHeight="1">
      <c r="G852" s="11"/>
      <c r="K852" s="36"/>
      <c r="L852" s="36"/>
      <c r="M852" s="36"/>
    </row>
    <row r="853" spans="7:13" ht="15.75" customHeight="1">
      <c r="G853" s="11"/>
      <c r="K853" s="36"/>
      <c r="L853" s="36"/>
      <c r="M853" s="36"/>
    </row>
    <row r="854" spans="7:13" ht="15.75" customHeight="1">
      <c r="G854" s="11"/>
      <c r="K854" s="36"/>
      <c r="L854" s="36"/>
      <c r="M854" s="36"/>
    </row>
    <row r="855" spans="7:13" ht="15.75" customHeight="1">
      <c r="G855" s="11"/>
      <c r="K855" s="36"/>
      <c r="L855" s="36"/>
      <c r="M855" s="36"/>
    </row>
    <row r="856" spans="7:13" ht="15.75" customHeight="1">
      <c r="G856" s="11"/>
      <c r="K856" s="36"/>
      <c r="L856" s="36"/>
      <c r="M856" s="36"/>
    </row>
    <row r="857" spans="7:13" ht="15.75" customHeight="1">
      <c r="G857" s="11"/>
      <c r="K857" s="36"/>
      <c r="L857" s="36"/>
      <c r="M857" s="36"/>
    </row>
    <row r="858" spans="7:13" ht="15.75" customHeight="1">
      <c r="G858" s="11"/>
      <c r="K858" s="36"/>
      <c r="L858" s="36"/>
      <c r="M858" s="36"/>
    </row>
    <row r="859" spans="7:13" ht="15.75" customHeight="1">
      <c r="G859" s="11"/>
      <c r="K859" s="36"/>
      <c r="L859" s="36"/>
      <c r="M859" s="36"/>
    </row>
    <row r="860" spans="7:13" ht="15.75" customHeight="1">
      <c r="G860" s="11"/>
      <c r="K860" s="36"/>
      <c r="L860" s="36"/>
      <c r="M860" s="36"/>
    </row>
    <row r="861" spans="7:13" ht="15.75" customHeight="1">
      <c r="G861" s="11"/>
      <c r="K861" s="36"/>
      <c r="L861" s="36"/>
      <c r="M861" s="36"/>
    </row>
    <row r="862" spans="7:13" ht="15.75" customHeight="1">
      <c r="G862" s="11"/>
      <c r="K862" s="36"/>
      <c r="L862" s="36"/>
      <c r="M862" s="36"/>
    </row>
    <row r="863" spans="7:13" ht="15.75" customHeight="1">
      <c r="G863" s="11"/>
      <c r="K863" s="36"/>
      <c r="L863" s="36"/>
      <c r="M863" s="36"/>
    </row>
    <row r="864" spans="7:13" ht="15.75" customHeight="1">
      <c r="G864" s="11"/>
      <c r="K864" s="36"/>
      <c r="L864" s="36"/>
      <c r="M864" s="36"/>
    </row>
    <row r="865" spans="7:13" ht="15.75" customHeight="1">
      <c r="G865" s="11"/>
      <c r="K865" s="36"/>
      <c r="L865" s="36"/>
      <c r="M865" s="36"/>
    </row>
    <row r="866" spans="7:13" ht="15.75" customHeight="1">
      <c r="G866" s="11"/>
      <c r="K866" s="36"/>
      <c r="L866" s="36"/>
      <c r="M866" s="36"/>
    </row>
    <row r="867" spans="7:13" ht="15.75" customHeight="1">
      <c r="G867" s="11"/>
      <c r="K867" s="36"/>
      <c r="L867" s="36"/>
      <c r="M867" s="36"/>
    </row>
    <row r="868" spans="7:13" ht="15.75" customHeight="1">
      <c r="G868" s="11"/>
      <c r="K868" s="36"/>
      <c r="L868" s="36"/>
      <c r="M868" s="36"/>
    </row>
    <row r="869" spans="7:13" ht="15.75" customHeight="1">
      <c r="G869" s="11"/>
      <c r="K869" s="36"/>
      <c r="L869" s="36"/>
      <c r="M869" s="36"/>
    </row>
    <row r="870" spans="7:13" ht="15.75" customHeight="1">
      <c r="G870" s="11"/>
      <c r="K870" s="36"/>
      <c r="L870" s="36"/>
      <c r="M870" s="36"/>
    </row>
    <row r="871" spans="7:13" ht="15.75" customHeight="1">
      <c r="G871" s="11"/>
      <c r="K871" s="36"/>
      <c r="L871" s="36"/>
      <c r="M871" s="36"/>
    </row>
    <row r="872" spans="7:13" ht="15.75" customHeight="1">
      <c r="G872" s="11"/>
      <c r="K872" s="36"/>
      <c r="L872" s="36"/>
      <c r="M872" s="36"/>
    </row>
    <row r="873" spans="7:13" ht="15.75" customHeight="1">
      <c r="G873" s="11"/>
      <c r="K873" s="36"/>
      <c r="L873" s="36"/>
      <c r="M873" s="36"/>
    </row>
    <row r="874" spans="7:13" ht="15.75" customHeight="1">
      <c r="G874" s="11"/>
      <c r="K874" s="36"/>
      <c r="L874" s="36"/>
      <c r="M874" s="36"/>
    </row>
    <row r="875" spans="7:13" ht="15.75" customHeight="1">
      <c r="G875" s="11"/>
      <c r="K875" s="36"/>
      <c r="L875" s="36"/>
      <c r="M875" s="36"/>
    </row>
    <row r="876" spans="7:13" ht="15.75" customHeight="1">
      <c r="G876" s="11"/>
      <c r="K876" s="36"/>
      <c r="L876" s="36"/>
      <c r="M876" s="36"/>
    </row>
    <row r="877" spans="7:13" ht="15.75" customHeight="1">
      <c r="G877" s="11"/>
      <c r="K877" s="36"/>
      <c r="L877" s="36"/>
      <c r="M877" s="36"/>
    </row>
    <row r="878" spans="7:13" ht="15.75" customHeight="1">
      <c r="G878" s="11"/>
      <c r="K878" s="36"/>
      <c r="L878" s="36"/>
      <c r="M878" s="36"/>
    </row>
    <row r="879" spans="7:13" ht="15.75" customHeight="1">
      <c r="G879" s="11"/>
      <c r="K879" s="36"/>
      <c r="L879" s="36"/>
      <c r="M879" s="36"/>
    </row>
    <row r="880" spans="7:13" ht="15.75" customHeight="1">
      <c r="G880" s="11"/>
      <c r="K880" s="36"/>
      <c r="L880" s="36"/>
      <c r="M880" s="36"/>
    </row>
    <row r="881" spans="7:13" ht="15.75" customHeight="1">
      <c r="G881" s="11"/>
      <c r="K881" s="36"/>
      <c r="L881" s="36"/>
      <c r="M881" s="36"/>
    </row>
    <row r="882" spans="7:13" ht="15.75" customHeight="1">
      <c r="G882" s="11"/>
      <c r="K882" s="36"/>
      <c r="L882" s="36"/>
      <c r="M882" s="36"/>
    </row>
    <row r="883" spans="7:13" ht="15.75" customHeight="1">
      <c r="G883" s="11"/>
      <c r="K883" s="36"/>
      <c r="L883" s="36"/>
      <c r="M883" s="36"/>
    </row>
    <row r="884" spans="7:13" ht="15.75" customHeight="1">
      <c r="G884" s="11"/>
      <c r="K884" s="36"/>
      <c r="L884" s="36"/>
      <c r="M884" s="36"/>
    </row>
    <row r="885" spans="7:13" ht="15.75" customHeight="1">
      <c r="G885" s="11"/>
      <c r="K885" s="36"/>
      <c r="L885" s="36"/>
      <c r="M885" s="36"/>
    </row>
    <row r="886" spans="7:13" ht="15.75" customHeight="1">
      <c r="G886" s="11"/>
      <c r="K886" s="36"/>
      <c r="L886" s="36"/>
      <c r="M886" s="36"/>
    </row>
    <row r="887" spans="7:13" ht="15.75" customHeight="1">
      <c r="G887" s="11"/>
      <c r="K887" s="36"/>
      <c r="L887" s="36"/>
      <c r="M887" s="36"/>
    </row>
    <row r="888" spans="7:13" ht="15.75" customHeight="1">
      <c r="G888" s="11"/>
      <c r="K888" s="36"/>
      <c r="L888" s="36"/>
      <c r="M888" s="36"/>
    </row>
    <row r="889" spans="7:13" ht="15.75" customHeight="1">
      <c r="G889" s="11"/>
      <c r="K889" s="36"/>
      <c r="L889" s="36"/>
      <c r="M889" s="36"/>
    </row>
    <row r="890" spans="7:13" ht="15.75" customHeight="1">
      <c r="G890" s="11"/>
      <c r="K890" s="36"/>
      <c r="L890" s="36"/>
      <c r="M890" s="36"/>
    </row>
    <row r="891" spans="7:13" ht="15.75" customHeight="1">
      <c r="G891" s="11"/>
      <c r="K891" s="36"/>
      <c r="L891" s="36"/>
      <c r="M891" s="36"/>
    </row>
    <row r="892" spans="7:13" ht="15.75" customHeight="1">
      <c r="G892" s="11"/>
      <c r="K892" s="36"/>
      <c r="L892" s="36"/>
      <c r="M892" s="36"/>
    </row>
    <row r="893" spans="7:13" ht="15.75" customHeight="1">
      <c r="G893" s="11"/>
      <c r="K893" s="36"/>
      <c r="L893" s="36"/>
      <c r="M893" s="36"/>
    </row>
    <row r="894" spans="7:13" ht="15.75" customHeight="1">
      <c r="G894" s="11"/>
      <c r="K894" s="36"/>
      <c r="L894" s="36"/>
      <c r="M894" s="36"/>
    </row>
    <row r="895" spans="7:13" ht="15.75" customHeight="1">
      <c r="G895" s="11"/>
      <c r="K895" s="36"/>
      <c r="L895" s="36"/>
      <c r="M895" s="36"/>
    </row>
    <row r="896" spans="7:13" ht="15.75" customHeight="1">
      <c r="G896" s="11"/>
      <c r="K896" s="36"/>
      <c r="L896" s="36"/>
      <c r="M896" s="36"/>
    </row>
    <row r="897" spans="7:13" ht="15.75" customHeight="1">
      <c r="G897" s="11"/>
      <c r="K897" s="36"/>
      <c r="L897" s="36"/>
      <c r="M897" s="36"/>
    </row>
    <row r="898" spans="7:13" ht="15.75" customHeight="1">
      <c r="G898" s="11"/>
      <c r="K898" s="36"/>
      <c r="L898" s="36"/>
      <c r="M898" s="36"/>
    </row>
    <row r="899" spans="7:13" ht="15.75" customHeight="1">
      <c r="G899" s="11"/>
      <c r="K899" s="36"/>
      <c r="L899" s="36"/>
      <c r="M899" s="36"/>
    </row>
    <row r="900" spans="7:13" ht="15.75" customHeight="1">
      <c r="G900" s="11"/>
      <c r="K900" s="36"/>
      <c r="L900" s="36"/>
      <c r="M900" s="36"/>
    </row>
    <row r="901" spans="7:13" ht="15.75" customHeight="1">
      <c r="G901" s="11"/>
      <c r="K901" s="36"/>
      <c r="L901" s="36"/>
      <c r="M901" s="36"/>
    </row>
    <row r="902" spans="7:13" ht="15.75" customHeight="1">
      <c r="G902" s="11"/>
      <c r="K902" s="36"/>
      <c r="L902" s="36"/>
      <c r="M902" s="36"/>
    </row>
    <row r="903" spans="7:13" ht="15.75" customHeight="1">
      <c r="G903" s="11"/>
      <c r="K903" s="36"/>
      <c r="L903" s="36"/>
      <c r="M903" s="36"/>
    </row>
    <row r="904" spans="7:13" ht="15.75" customHeight="1">
      <c r="G904" s="11"/>
      <c r="K904" s="36"/>
      <c r="L904" s="36"/>
      <c r="M904" s="36"/>
    </row>
    <row r="905" spans="7:13" ht="15.75" customHeight="1">
      <c r="G905" s="11"/>
      <c r="K905" s="36"/>
      <c r="L905" s="36"/>
      <c r="M905" s="36"/>
    </row>
    <row r="906" spans="7:13" ht="15.75" customHeight="1">
      <c r="G906" s="11"/>
      <c r="K906" s="36"/>
      <c r="L906" s="36"/>
      <c r="M906" s="36"/>
    </row>
    <row r="907" spans="7:13" ht="15.75" customHeight="1">
      <c r="G907" s="11"/>
      <c r="K907" s="36"/>
      <c r="L907" s="36"/>
      <c r="M907" s="36"/>
    </row>
    <row r="908" spans="7:13" ht="15.75" customHeight="1">
      <c r="G908" s="11"/>
      <c r="K908" s="36"/>
      <c r="L908" s="36"/>
      <c r="M908" s="36"/>
    </row>
    <row r="909" spans="7:13" ht="15.75" customHeight="1">
      <c r="G909" s="11"/>
      <c r="K909" s="36"/>
      <c r="L909" s="36"/>
      <c r="M909" s="36"/>
    </row>
    <row r="910" spans="7:13" ht="15.75" customHeight="1">
      <c r="G910" s="11"/>
      <c r="K910" s="36"/>
      <c r="L910" s="36"/>
      <c r="M910" s="36"/>
    </row>
    <row r="911" spans="7:13" ht="15.75" customHeight="1">
      <c r="G911" s="11"/>
      <c r="K911" s="36"/>
      <c r="L911" s="36"/>
      <c r="M911" s="36"/>
    </row>
    <row r="912" spans="7:13" ht="15.75" customHeight="1">
      <c r="G912" s="11"/>
      <c r="K912" s="36"/>
      <c r="L912" s="36"/>
      <c r="M912" s="36"/>
    </row>
    <row r="913" spans="7:13" ht="15.75" customHeight="1">
      <c r="G913" s="11"/>
      <c r="K913" s="36"/>
      <c r="L913" s="36"/>
      <c r="M913" s="36"/>
    </row>
    <row r="914" spans="7:13" ht="15.75" customHeight="1">
      <c r="G914" s="11"/>
      <c r="K914" s="36"/>
      <c r="L914" s="36"/>
      <c r="M914" s="36"/>
    </row>
    <row r="915" spans="7:13" ht="15.75" customHeight="1">
      <c r="G915" s="11"/>
      <c r="K915" s="36"/>
      <c r="L915" s="36"/>
      <c r="M915" s="36"/>
    </row>
    <row r="916" spans="7:13" ht="15.75" customHeight="1">
      <c r="G916" s="11"/>
      <c r="K916" s="36"/>
      <c r="L916" s="36"/>
      <c r="M916" s="36"/>
    </row>
    <row r="917" spans="7:13" ht="15.75" customHeight="1">
      <c r="G917" s="11"/>
      <c r="K917" s="36"/>
      <c r="L917" s="36"/>
      <c r="M917" s="36"/>
    </row>
    <row r="918" spans="7:13" ht="15.75" customHeight="1">
      <c r="G918" s="11"/>
      <c r="K918" s="36"/>
      <c r="L918" s="36"/>
      <c r="M918" s="36"/>
    </row>
    <row r="919" spans="7:13" ht="15.75" customHeight="1">
      <c r="G919" s="11"/>
      <c r="K919" s="36"/>
      <c r="L919" s="36"/>
      <c r="M919" s="36"/>
    </row>
    <row r="920" spans="7:13" ht="15.75" customHeight="1">
      <c r="G920" s="11"/>
      <c r="K920" s="36"/>
      <c r="L920" s="36"/>
      <c r="M920" s="36"/>
    </row>
    <row r="921" spans="7:13" ht="15.75" customHeight="1">
      <c r="G921" s="11"/>
      <c r="K921" s="36"/>
      <c r="L921" s="36"/>
      <c r="M921" s="36"/>
    </row>
    <row r="922" spans="7:13" ht="15.75" customHeight="1">
      <c r="G922" s="11"/>
      <c r="K922" s="36"/>
      <c r="L922" s="36"/>
      <c r="M922" s="36"/>
    </row>
    <row r="923" spans="7:13" ht="15.75" customHeight="1">
      <c r="G923" s="11"/>
      <c r="K923" s="36"/>
      <c r="L923" s="36"/>
      <c r="M923" s="36"/>
    </row>
    <row r="924" spans="7:13" ht="15.75" customHeight="1">
      <c r="G924" s="11"/>
      <c r="K924" s="36"/>
      <c r="L924" s="36"/>
      <c r="M924" s="36"/>
    </row>
    <row r="925" spans="7:13" ht="15.75" customHeight="1">
      <c r="G925" s="11"/>
      <c r="K925" s="36"/>
      <c r="L925" s="36"/>
      <c r="M925" s="36"/>
    </row>
    <row r="926" spans="7:13" ht="15.75" customHeight="1">
      <c r="G926" s="11"/>
      <c r="K926" s="36"/>
      <c r="L926" s="36"/>
      <c r="M926" s="36"/>
    </row>
    <row r="927" spans="7:13" ht="15.75" customHeight="1">
      <c r="G927" s="11"/>
      <c r="K927" s="36"/>
      <c r="L927" s="36"/>
      <c r="M927" s="36"/>
    </row>
    <row r="928" spans="7:13" ht="15.75" customHeight="1">
      <c r="G928" s="11"/>
      <c r="K928" s="36"/>
      <c r="L928" s="36"/>
      <c r="M928" s="36"/>
    </row>
    <row r="929" spans="7:13" ht="15.75" customHeight="1">
      <c r="G929" s="11"/>
      <c r="K929" s="36"/>
      <c r="L929" s="36"/>
      <c r="M929" s="36"/>
    </row>
    <row r="930" spans="7:13" ht="15.75" customHeight="1">
      <c r="G930" s="11"/>
      <c r="K930" s="36"/>
      <c r="L930" s="36"/>
      <c r="M930" s="36"/>
    </row>
    <row r="931" spans="7:13" ht="15.75" customHeight="1">
      <c r="G931" s="11"/>
      <c r="K931" s="36"/>
      <c r="L931" s="36"/>
      <c r="M931" s="36"/>
    </row>
    <row r="932" spans="7:13" ht="15.75" customHeight="1">
      <c r="G932" s="11"/>
      <c r="K932" s="36"/>
      <c r="L932" s="36"/>
      <c r="M932" s="36"/>
    </row>
    <row r="933" spans="7:13" ht="15.75" customHeight="1">
      <c r="G933" s="11"/>
      <c r="K933" s="36"/>
      <c r="L933" s="36"/>
      <c r="M933" s="36"/>
    </row>
    <row r="934" spans="7:13" ht="15.75" customHeight="1">
      <c r="G934" s="11"/>
      <c r="K934" s="36"/>
      <c r="L934" s="36"/>
      <c r="M934" s="36"/>
    </row>
    <row r="935" spans="7:13" ht="15.75" customHeight="1">
      <c r="G935" s="11"/>
      <c r="K935" s="36"/>
      <c r="L935" s="36"/>
      <c r="M935" s="36"/>
    </row>
    <row r="936" spans="7:13" ht="15.75" customHeight="1">
      <c r="G936" s="11"/>
      <c r="K936" s="36"/>
      <c r="L936" s="36"/>
      <c r="M936" s="36"/>
    </row>
    <row r="937" spans="7:13" ht="15.75" customHeight="1">
      <c r="G937" s="11"/>
      <c r="K937" s="36"/>
      <c r="L937" s="36"/>
      <c r="M937" s="36"/>
    </row>
    <row r="938" spans="7:13" ht="15.75" customHeight="1">
      <c r="G938" s="11"/>
      <c r="K938" s="36"/>
      <c r="L938" s="36"/>
      <c r="M938" s="36"/>
    </row>
    <row r="939" spans="7:13" ht="15.75" customHeight="1">
      <c r="G939" s="11"/>
      <c r="K939" s="36"/>
      <c r="L939" s="36"/>
      <c r="M939" s="36"/>
    </row>
    <row r="940" spans="7:13" ht="15.75" customHeight="1">
      <c r="G940" s="11"/>
      <c r="K940" s="36"/>
      <c r="L940" s="36"/>
      <c r="M940" s="36"/>
    </row>
    <row r="941" spans="7:13" ht="15.75" customHeight="1">
      <c r="G941" s="11"/>
      <c r="K941" s="36"/>
      <c r="L941" s="36"/>
      <c r="M941" s="36"/>
    </row>
    <row r="942" spans="7:13" ht="15.75" customHeight="1">
      <c r="G942" s="11"/>
      <c r="K942" s="36"/>
      <c r="L942" s="36"/>
      <c r="M942" s="36"/>
    </row>
    <row r="943" spans="7:13" ht="15.75" customHeight="1">
      <c r="G943" s="11"/>
      <c r="K943" s="36"/>
      <c r="L943" s="36"/>
      <c r="M943" s="36"/>
    </row>
    <row r="944" spans="7:13" ht="15.75" customHeight="1">
      <c r="G944" s="11"/>
      <c r="K944" s="36"/>
      <c r="L944" s="36"/>
      <c r="M944" s="36"/>
    </row>
    <row r="945" spans="7:13" ht="15.75" customHeight="1">
      <c r="G945" s="11"/>
      <c r="K945" s="36"/>
      <c r="L945" s="36"/>
      <c r="M945" s="36"/>
    </row>
    <row r="946" spans="7:13" ht="15.75" customHeight="1">
      <c r="G946" s="11"/>
      <c r="K946" s="36"/>
      <c r="L946" s="36"/>
      <c r="M946" s="36"/>
    </row>
    <row r="947" spans="7:13" ht="15.75" customHeight="1">
      <c r="G947" s="11"/>
      <c r="K947" s="36"/>
      <c r="L947" s="36"/>
      <c r="M947" s="36"/>
    </row>
    <row r="948" spans="7:13" ht="15.75" customHeight="1">
      <c r="G948" s="11"/>
      <c r="K948" s="36"/>
      <c r="L948" s="36"/>
      <c r="M948" s="36"/>
    </row>
    <row r="949" spans="7:13" ht="15.75" customHeight="1">
      <c r="G949" s="11"/>
      <c r="K949" s="36"/>
      <c r="L949" s="36"/>
      <c r="M949" s="36"/>
    </row>
    <row r="950" spans="7:13" ht="15.75" customHeight="1">
      <c r="G950" s="11"/>
      <c r="K950" s="36"/>
      <c r="L950" s="36"/>
      <c r="M950" s="36"/>
    </row>
    <row r="951" spans="7:13" ht="15.75" customHeight="1">
      <c r="G951" s="11"/>
      <c r="K951" s="36"/>
      <c r="L951" s="36"/>
      <c r="M951" s="36"/>
    </row>
    <row r="952" spans="7:13" ht="15.75" customHeight="1">
      <c r="G952" s="11"/>
      <c r="K952" s="36"/>
      <c r="L952" s="36"/>
      <c r="M952" s="36"/>
    </row>
    <row r="953" spans="7:13" ht="15.75" customHeight="1">
      <c r="G953" s="11"/>
      <c r="K953" s="36"/>
      <c r="L953" s="36"/>
      <c r="M953" s="36"/>
    </row>
    <row r="954" spans="7:13" ht="15.75" customHeight="1">
      <c r="G954" s="11"/>
      <c r="K954" s="36"/>
      <c r="L954" s="36"/>
      <c r="M954" s="36"/>
    </row>
    <row r="955" spans="7:13" ht="15.75" customHeight="1">
      <c r="G955" s="11"/>
      <c r="K955" s="36"/>
      <c r="L955" s="36"/>
      <c r="M955" s="36"/>
    </row>
    <row r="956" spans="7:13" ht="15.75" customHeight="1">
      <c r="G956" s="11"/>
      <c r="K956" s="36"/>
      <c r="L956" s="36"/>
      <c r="M956" s="36"/>
    </row>
    <row r="957" spans="7:13" ht="15.75" customHeight="1">
      <c r="G957" s="11"/>
      <c r="K957" s="36"/>
      <c r="L957" s="36"/>
      <c r="M957" s="36"/>
    </row>
    <row r="958" spans="7:13" ht="15.75" customHeight="1">
      <c r="G958" s="11"/>
      <c r="K958" s="36"/>
      <c r="L958" s="36"/>
      <c r="M958" s="36"/>
    </row>
    <row r="959" spans="7:13" ht="15.75" customHeight="1">
      <c r="G959" s="11"/>
      <c r="K959" s="36"/>
      <c r="L959" s="36"/>
      <c r="M959" s="36"/>
    </row>
    <row r="960" spans="7:13" ht="15.75" customHeight="1">
      <c r="G960" s="11"/>
      <c r="K960" s="36"/>
      <c r="L960" s="36"/>
      <c r="M960" s="36"/>
    </row>
    <row r="961" spans="7:13" ht="15.75" customHeight="1">
      <c r="G961" s="11"/>
      <c r="K961" s="36"/>
      <c r="L961" s="36"/>
      <c r="M961" s="36"/>
    </row>
    <row r="962" spans="7:13" ht="15.75" customHeight="1">
      <c r="G962" s="11"/>
      <c r="K962" s="36"/>
      <c r="L962" s="36"/>
      <c r="M962" s="36"/>
    </row>
    <row r="963" spans="7:13" ht="15.75" customHeight="1">
      <c r="G963" s="11"/>
      <c r="K963" s="36"/>
      <c r="L963" s="36"/>
      <c r="M963" s="36"/>
    </row>
    <row r="964" spans="7:13" ht="15.75" customHeight="1">
      <c r="G964" s="11"/>
      <c r="K964" s="36"/>
      <c r="L964" s="36"/>
      <c r="M964" s="36"/>
    </row>
    <row r="965" spans="7:13" ht="15.75" customHeight="1">
      <c r="G965" s="11"/>
      <c r="K965" s="36"/>
      <c r="L965" s="36"/>
      <c r="M965" s="36"/>
    </row>
    <row r="966" spans="7:13" ht="15.75" customHeight="1">
      <c r="G966" s="11"/>
      <c r="K966" s="36"/>
      <c r="L966" s="36"/>
      <c r="M966" s="36"/>
    </row>
    <row r="967" spans="7:13" ht="15.75" customHeight="1">
      <c r="G967" s="11"/>
      <c r="K967" s="36"/>
      <c r="L967" s="36"/>
      <c r="M967" s="36"/>
    </row>
    <row r="968" spans="7:13" ht="15.75" customHeight="1">
      <c r="G968" s="11"/>
      <c r="K968" s="36"/>
      <c r="L968" s="36"/>
      <c r="M968" s="36"/>
    </row>
    <row r="969" spans="7:13" ht="15.75" customHeight="1">
      <c r="G969" s="11"/>
      <c r="K969" s="36"/>
      <c r="L969" s="36"/>
      <c r="M969" s="36"/>
    </row>
    <row r="970" spans="7:13" ht="15.75" customHeight="1">
      <c r="G970" s="11"/>
      <c r="K970" s="36"/>
      <c r="L970" s="36"/>
      <c r="M970" s="36"/>
    </row>
    <row r="971" spans="7:13" ht="15.75" customHeight="1">
      <c r="G971" s="11"/>
      <c r="K971" s="36"/>
      <c r="L971" s="36"/>
      <c r="M971" s="36"/>
    </row>
    <row r="972" spans="7:13" ht="15.75" customHeight="1">
      <c r="G972" s="11"/>
      <c r="K972" s="36"/>
      <c r="L972" s="36"/>
      <c r="M972" s="36"/>
    </row>
    <row r="973" spans="7:13" ht="15.75" customHeight="1">
      <c r="G973" s="11"/>
      <c r="K973" s="36"/>
      <c r="L973" s="36"/>
      <c r="M973" s="36"/>
    </row>
    <row r="974" spans="7:13" ht="15.75" customHeight="1">
      <c r="G974" s="11"/>
      <c r="K974" s="36"/>
      <c r="L974" s="36"/>
      <c r="M974" s="36"/>
    </row>
    <row r="975" spans="7:13" ht="15.75" customHeight="1">
      <c r="G975" s="11"/>
      <c r="K975" s="36"/>
      <c r="L975" s="36"/>
      <c r="M975" s="36"/>
    </row>
    <row r="976" spans="7:13" ht="15.75" customHeight="1">
      <c r="G976" s="11"/>
      <c r="K976" s="36"/>
      <c r="L976" s="36"/>
      <c r="M976" s="36"/>
    </row>
    <row r="977" spans="7:13" ht="15.75" customHeight="1">
      <c r="G977" s="11"/>
      <c r="K977" s="36"/>
      <c r="L977" s="36"/>
      <c r="M977" s="36"/>
    </row>
    <row r="978" spans="7:13" ht="15.75" customHeight="1">
      <c r="G978" s="11"/>
      <c r="K978" s="36"/>
      <c r="L978" s="36"/>
      <c r="M978" s="36"/>
    </row>
    <row r="979" spans="7:13" ht="15.75" customHeight="1">
      <c r="G979" s="11"/>
      <c r="K979" s="36"/>
      <c r="L979" s="36"/>
      <c r="M979" s="36"/>
    </row>
    <row r="980" spans="7:13" ht="15.75" customHeight="1">
      <c r="G980" s="11"/>
      <c r="K980" s="36"/>
      <c r="L980" s="36"/>
      <c r="M980" s="36"/>
    </row>
    <row r="981" spans="7:13" ht="15.75" customHeight="1">
      <c r="G981" s="11"/>
      <c r="K981" s="36"/>
      <c r="L981" s="36"/>
      <c r="M981" s="36"/>
    </row>
    <row r="982" spans="7:13" ht="15.75" customHeight="1">
      <c r="G982" s="11"/>
      <c r="K982" s="36"/>
      <c r="L982" s="36"/>
      <c r="M982" s="36"/>
    </row>
    <row r="983" spans="7:13" ht="15.75" customHeight="1">
      <c r="G983" s="11"/>
      <c r="K983" s="36"/>
      <c r="L983" s="36"/>
      <c r="M983" s="36"/>
    </row>
    <row r="984" spans="7:13" ht="15.75" customHeight="1">
      <c r="G984" s="11"/>
      <c r="K984" s="36"/>
      <c r="L984" s="36"/>
      <c r="M984" s="36"/>
    </row>
    <row r="985" spans="7:13" ht="15.75" customHeight="1">
      <c r="G985" s="11"/>
      <c r="K985" s="36"/>
      <c r="L985" s="36"/>
      <c r="M985" s="36"/>
    </row>
    <row r="986" spans="7:13" ht="15.75" customHeight="1">
      <c r="G986" s="11"/>
      <c r="K986" s="36"/>
      <c r="L986" s="36"/>
      <c r="M986" s="36"/>
    </row>
    <row r="987" spans="7:13" ht="15.75" customHeight="1">
      <c r="G987" s="11"/>
      <c r="K987" s="36"/>
      <c r="L987" s="36"/>
      <c r="M987" s="36"/>
    </row>
    <row r="988" spans="7:13" ht="15.75" customHeight="1">
      <c r="G988" s="11"/>
      <c r="K988" s="36"/>
      <c r="L988" s="36"/>
      <c r="M988" s="36"/>
    </row>
    <row r="989" spans="7:13" ht="15.75" customHeight="1">
      <c r="G989" s="11"/>
      <c r="K989" s="36"/>
      <c r="L989" s="36"/>
      <c r="M989" s="36"/>
    </row>
    <row r="990" spans="7:13" ht="15.75" customHeight="1">
      <c r="G990" s="11"/>
      <c r="K990" s="36"/>
      <c r="L990" s="36"/>
      <c r="M990" s="36"/>
    </row>
    <row r="991" spans="7:13" ht="15.75" customHeight="1">
      <c r="G991" s="11"/>
      <c r="K991" s="36"/>
      <c r="L991" s="36"/>
      <c r="M991" s="36"/>
    </row>
    <row r="992" spans="7:13" ht="15.75" customHeight="1">
      <c r="G992" s="11"/>
      <c r="K992" s="36"/>
      <c r="L992" s="36"/>
      <c r="M992" s="36"/>
    </row>
    <row r="993" spans="7:13" ht="15.75" customHeight="1">
      <c r="G993" s="11"/>
      <c r="K993" s="36"/>
      <c r="L993" s="36"/>
      <c r="M993" s="36"/>
    </row>
    <row r="994" spans="7:13" ht="15.75" customHeight="1">
      <c r="G994" s="11"/>
      <c r="K994" s="36"/>
      <c r="L994" s="36"/>
      <c r="M994" s="36"/>
    </row>
    <row r="995" spans="7:13" ht="15.75" customHeight="1">
      <c r="G995" s="11"/>
      <c r="K995" s="36"/>
      <c r="L995" s="36"/>
      <c r="M995" s="36"/>
    </row>
    <row r="996" spans="7:13" ht="15.75" customHeight="1">
      <c r="G996" s="11"/>
      <c r="K996" s="36"/>
      <c r="L996" s="36"/>
      <c r="M996" s="36"/>
    </row>
  </sheetData>
  <autoFilter ref="B23:E62" xr:uid="{00000000-0009-0000-0000-000006000000}">
    <sortState xmlns:xlrd2="http://schemas.microsoft.com/office/spreadsheetml/2017/richdata2" ref="B23:E62">
      <sortCondition ref="D23:D62"/>
    </sortState>
  </autoFilter>
  <mergeCells count="1">
    <mergeCell ref="K23:M23"/>
  </mergeCells>
  <conditionalFormatting sqref="K6:M13">
    <cfRule type="expression" dxfId="0" priority="1">
      <formula>#REF!=TRUE</formula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SETUP</vt:lpstr>
      <vt:lpstr>202601</vt:lpstr>
      <vt:lpstr>DONOTUSE</vt:lpstr>
      <vt:lpstr>Budget</vt:lpstr>
      <vt:lpstr>Transactions</vt:lpstr>
      <vt:lpstr>Budget_TEMPLATE</vt:lpstr>
      <vt:lpstr>202507</vt:lpstr>
      <vt:lpstr>202508</vt:lpstr>
      <vt:lpstr>202509</vt:lpstr>
      <vt:lpstr>202510</vt:lpstr>
      <vt:lpstr>Cashflow</vt:lpstr>
      <vt:lpstr>Cashflow NOV</vt:lpstr>
      <vt:lpstr>Cashflow 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Nykosi Hollingsworth</dc:creator>
  <cp:lastModifiedBy>Nykosi Hollingsworth</cp:lastModifiedBy>
  <dcterms:created xsi:type="dcterms:W3CDTF">2025-06-14T14:14:58Z</dcterms:created>
  <dcterms:modified xsi:type="dcterms:W3CDTF">2026-01-01T21:51:08Z</dcterms:modified>
</cp:coreProperties>
</file>